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/>
  <xr:revisionPtr revIDLastSave="0" documentId="8_{D777BFB1-3373-47EE-901D-59B5B996A8EA}" xr6:coauthVersionLast="47" xr6:coauthVersionMax="47" xr10:uidLastSave="{00000000-0000-0000-0000-000000000000}"/>
  <bookViews>
    <workbookView xWindow="240" yWindow="105" windowWidth="14805" windowHeight="8010" firstSheet="10" activeTab="1" xr2:uid="{00000000-000D-0000-FFFF-FFFF00000000}"/>
  </bookViews>
  <sheets>
    <sheet name="VLOOKUP" sheetId="4" r:id="rId1"/>
    <sheet name="Sheet3" sheetId="18" r:id="rId2"/>
    <sheet name="VLOOKUP CASES" sheetId="1" r:id="rId3"/>
    <sheet name="Nested Vlookup" sheetId="7" r:id="rId4"/>
    <sheet name="REVERSE LOOKUP" sheetId="6" r:id="rId5"/>
    <sheet name="Sheet1" sheetId="10" r:id="rId6"/>
    <sheet name="Sheet2" sheetId="12" r:id="rId7"/>
    <sheet name="BREAK" sheetId="13" r:id="rId8"/>
    <sheet name="EFFICIENCY" sheetId="14" r:id="rId9"/>
    <sheet name="OVERALL PERFORMANCE" sheetId="15" r:id="rId10"/>
    <sheet name="SUMMARY" sheetId="16" r:id="rId11"/>
    <sheet name="DASHBOARD" sheetId="17" r:id="rId12"/>
    <sheet name="FORMULAS" sheetId="11" r:id="rId13"/>
    <sheet name="DOUBLE VLOOKUP" sheetId="3" r:id="rId14"/>
    <sheet name="MULTIPLE TABLE VLOOKUP" sheetId="2" r:id="rId15"/>
    <sheet name="XLOOKUP" sheetId="9" r:id="rId16"/>
    <sheet name="Sheet5" sheetId="5" r:id="rId17"/>
  </sheets>
  <definedNames>
    <definedName name="_xlnm._FilterDatabase" localSheetId="12" hidden="1">FORMULAS!$A$87:$D$96</definedName>
    <definedName name="B_DATA">BREAK!$A$1:$I$150</definedName>
    <definedName name="DATA1">'MULTIPLE TABLE VLOOKUP'!$A$2:$C$13</definedName>
    <definedName name="DATA2">'MULTIPLE TABLE VLOOKUP'!$E$2:$G$13</definedName>
    <definedName name="DATA3">'MULTIPLE TABLE VLOOKUP'!$I$2:$K$13</definedName>
    <definedName name="E_DATA">EFFICIENCY!$A$1:$Q$150</definedName>
    <definedName name="EXAMSEATNO">'Nested Vlookup'!$A$1:$B$11</definedName>
    <definedName name="STUDENTTABLE">'Nested Vlookup'!$G$1:$I$11</definedName>
  </definedNames>
  <calcPr calcId="191028"/>
  <pivotCaches>
    <pivotCache cacheId="498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6" l="1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2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B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P226" i="12" a="1"/>
  <c r="P226" i="12"/>
  <c r="J225" i="12" a="1"/>
  <c r="J225" i="12"/>
  <c r="I225" i="12" a="1"/>
  <c r="I225" i="12"/>
  <c r="F249" i="12"/>
  <c r="F248" i="12"/>
  <c r="F241" i="12"/>
  <c r="F242" i="12"/>
  <c r="F243" i="12"/>
  <c r="F244" i="12"/>
  <c r="K216" i="12"/>
  <c r="H217" i="12"/>
  <c r="H218" i="12"/>
  <c r="H219" i="12"/>
  <c r="H216" i="12"/>
  <c r="E217" i="12"/>
  <c r="E218" i="12"/>
  <c r="E219" i="12"/>
  <c r="E216" i="12"/>
  <c r="I209" i="12"/>
  <c r="D210" i="12"/>
  <c r="D211" i="12"/>
  <c r="D212" i="12"/>
  <c r="D209" i="12"/>
  <c r="C210" i="12"/>
  <c r="C211" i="12"/>
  <c r="C212" i="12"/>
  <c r="C209" i="12"/>
  <c r="G200" i="12"/>
  <c r="G195" i="12"/>
  <c r="G193" i="12"/>
  <c r="F175" i="12"/>
  <c r="H115" i="12"/>
  <c r="H116" i="12"/>
  <c r="H117" i="12"/>
  <c r="H114" i="12"/>
  <c r="H108" i="12"/>
  <c r="H109" i="12"/>
  <c r="H110" i="12"/>
  <c r="H107" i="12"/>
  <c r="D116" i="12"/>
  <c r="D115" i="12"/>
  <c r="D114" i="12"/>
  <c r="E108" i="12"/>
  <c r="E109" i="12"/>
  <c r="E110" i="12"/>
  <c r="E107" i="12"/>
  <c r="H89" i="12"/>
  <c r="D90" i="12"/>
  <c r="C90" i="12"/>
  <c r="E66" i="12"/>
  <c r="J152" i="10" a="1"/>
  <c r="J152" i="10"/>
  <c r="C31" i="11" a="1"/>
  <c r="C31" i="11"/>
  <c r="I28" i="11" a="1"/>
  <c r="I28" i="11"/>
  <c r="I22" i="11"/>
  <c r="H234" i="11" a="1"/>
  <c r="H234" i="11"/>
  <c r="H218" i="11" a="1"/>
  <c r="H218" i="11"/>
  <c r="H202" i="11" a="1"/>
  <c r="H202" i="11"/>
  <c r="H186" i="11" a="1"/>
  <c r="H186" i="11"/>
  <c r="H170" i="11" a="1"/>
  <c r="H170" i="11"/>
  <c r="H154" i="11" a="1"/>
  <c r="H154" i="11"/>
  <c r="I105" i="11"/>
  <c r="I120" i="11" a="1"/>
  <c r="I120" i="11"/>
  <c r="J120" i="11"/>
  <c r="H103" i="11"/>
  <c r="H102" i="11" a="1"/>
  <c r="H102" i="11"/>
  <c r="G103" i="11"/>
  <c r="G104" i="11"/>
  <c r="G105" i="11"/>
  <c r="G106" i="11"/>
  <c r="G107" i="11"/>
  <c r="G108" i="11"/>
  <c r="G109" i="11"/>
  <c r="G102" i="11"/>
  <c r="J73" i="11"/>
  <c r="I69" i="11"/>
  <c r="J56" i="11"/>
  <c r="I53" i="11"/>
  <c r="I50" i="11"/>
  <c r="I38" i="11" a="1"/>
  <c r="I38" i="11"/>
  <c r="R13" i="11" a="1"/>
  <c r="R13" i="11"/>
  <c r="M13" i="11" a="1"/>
  <c r="M13" i="11"/>
  <c r="I25" i="11"/>
  <c r="I19" i="11"/>
  <c r="K19" i="11"/>
  <c r="J19" i="11" a="1"/>
  <c r="J19" i="11"/>
  <c r="H135" i="10"/>
  <c r="I13" i="11" a="1"/>
  <c r="I13" i="11"/>
  <c r="C166" i="10" a="1"/>
  <c r="C166" i="10"/>
  <c r="I10" i="11"/>
  <c r="I4" i="11"/>
  <c r="J172" i="10" a="1"/>
  <c r="J172" i="10"/>
  <c r="C167" i="10" a="1"/>
  <c r="C167" i="10"/>
  <c r="H118" i="10"/>
  <c r="AB107" i="9" a="1"/>
  <c r="AB107" i="9"/>
  <c r="E118" i="9" a="1"/>
  <c r="E118" i="9"/>
  <c r="I101" i="10"/>
  <c r="A102" i="10"/>
  <c r="A103" i="10"/>
  <c r="A104" i="10"/>
  <c r="A105" i="10"/>
  <c r="A106" i="10"/>
  <c r="A107" i="10"/>
  <c r="A108" i="10"/>
  <c r="A109" i="10"/>
  <c r="A110" i="10"/>
  <c r="A111" i="10"/>
  <c r="A112" i="10"/>
  <c r="A101" i="10"/>
  <c r="I84" i="10"/>
  <c r="J84" i="10"/>
  <c r="I85" i="10"/>
  <c r="J85" i="10"/>
  <c r="I86" i="10"/>
  <c r="J86" i="10"/>
  <c r="I87" i="10"/>
  <c r="J87" i="10"/>
  <c r="H85" i="10"/>
  <c r="H86" i="10"/>
  <c r="H87" i="10"/>
  <c r="H84" i="10"/>
  <c r="H64" i="10"/>
  <c r="I12" i="10"/>
  <c r="J12" i="10"/>
  <c r="H12" i="10"/>
  <c r="I44" i="10"/>
  <c r="J44" i="10"/>
  <c r="H44" i="10"/>
  <c r="H8" i="10"/>
  <c r="H4" i="10"/>
  <c r="I239" i="9" a="1"/>
  <c r="I239" i="9"/>
  <c r="I232" i="9" a="1"/>
  <c r="I232" i="9"/>
  <c r="I233" i="9" a="1"/>
  <c r="I233" i="9"/>
  <c r="I234" i="9" a="1"/>
  <c r="I234" i="9"/>
  <c r="I235" i="9" a="1"/>
  <c r="I235" i="9"/>
  <c r="L251" i="9"/>
  <c r="B207" i="9" a="1"/>
  <c r="B207" i="9"/>
  <c r="J177" i="9"/>
  <c r="K128" i="9" a="1"/>
  <c r="K128" i="9"/>
  <c r="AB112" i="9" a="1"/>
  <c r="AB112" i="9"/>
  <c r="K82" i="9" a="1"/>
  <c r="K82" i="9"/>
  <c r="K68" i="9" a="1"/>
  <c r="K68" i="9"/>
  <c r="K45" i="9" a="1"/>
  <c r="K45" i="9"/>
  <c r="J33" i="9" a="1"/>
  <c r="J33" i="9"/>
  <c r="Y68" i="9" a="1"/>
  <c r="Y68" i="9"/>
  <c r="C226" i="9"/>
  <c r="L116" i="9" a="1"/>
  <c r="L116" i="9"/>
  <c r="L95" i="9" a="1"/>
  <c r="L95" i="9"/>
  <c r="K85" i="9" a="1"/>
  <c r="K85" i="9"/>
  <c r="J39" i="9" a="1"/>
  <c r="J39" i="9"/>
  <c r="J38" i="9" a="1"/>
  <c r="J38" i="9"/>
  <c r="J34" i="9" a="1"/>
  <c r="J34" i="9"/>
  <c r="J35" i="9" a="1"/>
  <c r="J35" i="9"/>
  <c r="J20" i="9" a="1"/>
  <c r="J20" i="9"/>
  <c r="C168" i="9"/>
  <c r="H148" i="9"/>
  <c r="H149" i="9"/>
  <c r="H150" i="9"/>
  <c r="H151" i="9"/>
  <c r="H147" i="9"/>
  <c r="H144" i="9"/>
  <c r="H145" i="9"/>
  <c r="H146" i="9"/>
  <c r="H143" i="9"/>
  <c r="E144" i="9" a="1"/>
  <c r="E144" i="9"/>
  <c r="E145" i="9" a="1"/>
  <c r="E145" i="9"/>
  <c r="E146" i="9" a="1"/>
  <c r="E146" i="9"/>
  <c r="E147" i="9" a="1"/>
  <c r="E147" i="9"/>
  <c r="E148" i="9" a="1"/>
  <c r="E148" i="9"/>
  <c r="E149" i="9" a="1"/>
  <c r="E149" i="9"/>
  <c r="E150" i="9" a="1"/>
  <c r="E150" i="9"/>
  <c r="E151" i="9" a="1"/>
  <c r="E151" i="9"/>
  <c r="E143" i="9" a="1"/>
  <c r="E143" i="9"/>
  <c r="L98" i="9" a="1"/>
  <c r="L98" i="9"/>
  <c r="K71" i="9" a="1"/>
  <c r="K71" i="9"/>
  <c r="J23" i="9" a="1"/>
  <c r="J23" i="9"/>
  <c r="J8" i="9"/>
  <c r="J11" i="9"/>
  <c r="J5" i="9"/>
  <c r="J2" i="6"/>
  <c r="L5" i="7"/>
  <c r="L6" i="7"/>
  <c r="E5" i="7"/>
  <c r="L23" i="5" a="1"/>
  <c r="L23" i="5"/>
  <c r="L24" i="5" a="1"/>
  <c r="L24" i="5"/>
  <c r="L22" i="5" a="1"/>
  <c r="L22" i="5"/>
  <c r="J55" i="4" a="1"/>
  <c r="J55" i="4"/>
  <c r="G55" i="4" a="1"/>
  <c r="G55" i="4"/>
  <c r="I38" i="4"/>
  <c r="I32" i="4" a="1"/>
  <c r="I32" i="4"/>
  <c r="I27" i="4" a="1"/>
  <c r="I27" i="4"/>
  <c r="I14" i="4"/>
  <c r="I15" i="4"/>
  <c r="I16" i="4"/>
  <c r="I17" i="4"/>
  <c r="I13" i="4"/>
  <c r="I5" i="4"/>
  <c r="I6" i="4"/>
  <c r="I7" i="4"/>
  <c r="I8" i="4"/>
  <c r="I4" i="4"/>
  <c r="I33" i="4" a="1"/>
  <c r="I33" i="4"/>
  <c r="I34" i="4" a="1"/>
  <c r="I34" i="4"/>
  <c r="J40" i="4"/>
  <c r="K40" i="4"/>
  <c r="L40" i="4"/>
  <c r="J39" i="4"/>
  <c r="K39" i="4"/>
  <c r="L39" i="4"/>
  <c r="I39" i="4"/>
  <c r="I40" i="4"/>
  <c r="J38" i="4"/>
  <c r="K38" i="4"/>
  <c r="L38" i="4"/>
  <c r="I28" i="4" a="1"/>
  <c r="I28" i="4"/>
  <c r="I29" i="4" a="1"/>
  <c r="I29" i="4"/>
  <c r="S11" i="5" a="1"/>
  <c r="S11" i="5"/>
  <c r="S12" i="5" a="1"/>
  <c r="S12" i="5"/>
  <c r="S13" i="5" a="1"/>
  <c r="S13" i="5"/>
  <c r="N7" i="2"/>
  <c r="N8" i="2"/>
  <c r="D21" i="1" a="1"/>
  <c r="D21" i="1"/>
  <c r="D22" i="1" a="1"/>
  <c r="D22" i="1"/>
  <c r="D23" i="1" a="1"/>
  <c r="D23" i="1"/>
  <c r="D20" i="1" a="1"/>
  <c r="D20" i="1"/>
  <c r="F13" i="1"/>
  <c r="F14" i="1"/>
  <c r="F12" i="1"/>
  <c r="E13" i="1"/>
  <c r="E14" i="1"/>
  <c r="E12" i="1"/>
  <c r="D4" i="1"/>
  <c r="D5" i="1"/>
  <c r="D6" i="1"/>
  <c r="D3" i="1"/>
  <c r="J3" i="6"/>
  <c r="J4" i="6"/>
  <c r="J5" i="6"/>
  <c r="J6" i="6"/>
  <c r="L1" i="6" a="1"/>
  <c r="L1" i="6"/>
  <c r="E6" i="7"/>
  <c r="R24" i="5"/>
  <c r="E9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<sst xmlns="http://schemas.openxmlformats.org/spreadsheetml/2006/main" count="3788" uniqueCount="912">
  <si>
    <t>VERTICAL DATA</t>
  </si>
  <si>
    <t>EmpID</t>
  </si>
  <si>
    <t>Name</t>
  </si>
  <si>
    <t>Age</t>
  </si>
  <si>
    <t>Gender</t>
  </si>
  <si>
    <t>Position</t>
  </si>
  <si>
    <t>Salary</t>
  </si>
  <si>
    <t>Aniruddha Kale</t>
  </si>
  <si>
    <t>Male</t>
  </si>
  <si>
    <t>Sales</t>
  </si>
  <si>
    <t>Aslam Raza</t>
  </si>
  <si>
    <t>Female</t>
  </si>
  <si>
    <t>Finance</t>
  </si>
  <si>
    <t>1ST CASE JHA FORMULA 2ND ROW M AND NAME BHI 2ND ROW M</t>
  </si>
  <si>
    <t>Roshan Zameer</t>
  </si>
  <si>
    <t>Operations</t>
  </si>
  <si>
    <t>Rakesh Sharma</t>
  </si>
  <si>
    <t>Shivanand Sahani</t>
  </si>
  <si>
    <t>Product Manager</t>
  </si>
  <si>
    <t>Kuntal Patra</t>
  </si>
  <si>
    <t>Data Scientist</t>
  </si>
  <si>
    <t>Bijendra Singh</t>
  </si>
  <si>
    <t>Kranti Bheke</t>
  </si>
  <si>
    <t>Marketing</t>
  </si>
  <si>
    <t>Jagdeep Paward</t>
  </si>
  <si>
    <t>Adhir Samal</t>
  </si>
  <si>
    <t>Dannana Jhammi</t>
  </si>
  <si>
    <t>Vipin Kumar</t>
  </si>
  <si>
    <t>Ranjeet Kumar</t>
  </si>
  <si>
    <t>HR</t>
  </si>
  <si>
    <t>Sajal Singhal</t>
  </si>
  <si>
    <t>Akhilesh Kumar</t>
  </si>
  <si>
    <t>Suvankar Chakraborty</t>
  </si>
  <si>
    <t>Software Engineer</t>
  </si>
  <si>
    <t>Suvankar Adhikary</t>
  </si>
  <si>
    <t>Support</t>
  </si>
  <si>
    <t>HORIZONTAL DATA</t>
  </si>
  <si>
    <t>PRODUCTS</t>
  </si>
  <si>
    <t>A</t>
  </si>
  <si>
    <t>B</t>
  </si>
  <si>
    <t>C</t>
  </si>
  <si>
    <t>D</t>
  </si>
  <si>
    <t>VALUE 1</t>
  </si>
  <si>
    <t>RESULT</t>
  </si>
  <si>
    <t>SALES</t>
  </si>
  <si>
    <t>FRUITS NAME</t>
  </si>
  <si>
    <t>STORE A</t>
  </si>
  <si>
    <t>STORE B</t>
  </si>
  <si>
    <t>STORE C</t>
  </si>
  <si>
    <t>STORE D</t>
  </si>
  <si>
    <t>ADVANCE VLOOKUP NO DRAGGING</t>
  </si>
  <si>
    <t>APPLE</t>
  </si>
  <si>
    <t>MANGO</t>
  </si>
  <si>
    <t>ISME FORMULA RIGHT M DRAG NAHI HORA HAI ..SIRF NICHE DRAG HORA HAI ..AGR $H KRTE TO MANGO KA HI DATA ORANGE KIWI  M AJATA</t>
  </si>
  <si>
    <t>ORANGE</t>
  </si>
  <si>
    <t>KIWI</t>
  </si>
  <si>
    <t>DRAGON FRUIT</t>
  </si>
  <si>
    <t>POMEGRANATE</t>
  </si>
  <si>
    <t>COLUMNS () WALE SE DRAGGING</t>
  </si>
  <si>
    <t xml:space="preserve">H38 M FRUITS NAME HAI JAB HUM RIGHT JATE H TO FRUITS SAME RHTA HAI SIRF STORE CHANGE HOTA HAI AGR NAHI KRTE TO H38-I38-J38..I J K M FRUITS NAHI H  TO FORMULA GALAT HO JATA </t>
  </si>
  <si>
    <t xml:space="preserve">SHEET 1 </t>
  </si>
  <si>
    <t>ID</t>
  </si>
  <si>
    <t>EMPLOYEE</t>
  </si>
  <si>
    <t>DEP.</t>
  </si>
  <si>
    <t>HARSHA</t>
  </si>
  <si>
    <t>IT</t>
  </si>
  <si>
    <t>MANDEEP</t>
  </si>
  <si>
    <t>TEACHER</t>
  </si>
  <si>
    <t>HANU</t>
  </si>
  <si>
    <t>JOUNALISM</t>
  </si>
  <si>
    <t>RIO</t>
  </si>
  <si>
    <t>NOT</t>
  </si>
  <si>
    <t>MAXU</t>
  </si>
  <si>
    <t>AUNTY G</t>
  </si>
  <si>
    <t>HOUSEWIFE</t>
  </si>
  <si>
    <t>SHEET 2</t>
  </si>
  <si>
    <t>DOUBLE VLOOKUP</t>
  </si>
  <si>
    <t>PRESENT</t>
  </si>
  <si>
    <t>ABSENT</t>
  </si>
  <si>
    <t>23 DAYS</t>
  </si>
  <si>
    <t>3DAYS</t>
  </si>
  <si>
    <t>24DAYS</t>
  </si>
  <si>
    <t>4DAYS</t>
  </si>
  <si>
    <t>24 DAYS</t>
  </si>
  <si>
    <t>25 DAYS</t>
  </si>
  <si>
    <t>NAME</t>
  </si>
  <si>
    <t>MARKS</t>
  </si>
  <si>
    <t>CITY</t>
  </si>
  <si>
    <t>PITHORAGARH</t>
  </si>
  <si>
    <t>DELHI</t>
  </si>
  <si>
    <t>PARAS</t>
  </si>
  <si>
    <t>CHD</t>
  </si>
  <si>
    <t>SHEET 1 EMPLOYEE LIST</t>
  </si>
  <si>
    <t>VLOOKUP USE</t>
  </si>
  <si>
    <t>SHEET2 SALARY DATA</t>
  </si>
  <si>
    <t>1ST CASE</t>
  </si>
  <si>
    <t>EMPID</t>
  </si>
  <si>
    <t>SALARY</t>
  </si>
  <si>
    <t>E101</t>
  </si>
  <si>
    <t>E202</t>
  </si>
  <si>
    <t>E303</t>
  </si>
  <si>
    <t>E404</t>
  </si>
  <si>
    <t>MAX</t>
  </si>
  <si>
    <t>2ND CASE</t>
  </si>
  <si>
    <t>SHEET 1SALES DATA</t>
  </si>
  <si>
    <t>DONO M ALG ALG VLOOKUP LGANA PDEGA</t>
  </si>
  <si>
    <t xml:space="preserve">ORDER ID </t>
  </si>
  <si>
    <t>PRODUCT ID</t>
  </si>
  <si>
    <t>QTY</t>
  </si>
  <si>
    <t>PRODUCT NAME</t>
  </si>
  <si>
    <t>PRICE</t>
  </si>
  <si>
    <t>/ XLOOKUP LGAO</t>
  </si>
  <si>
    <t>SHEET2 PRODUCT MASTER</t>
  </si>
  <si>
    <t>O101</t>
  </si>
  <si>
    <t>P01</t>
  </si>
  <si>
    <t>O102</t>
  </si>
  <si>
    <t>P02</t>
  </si>
  <si>
    <t>MOBLE</t>
  </si>
  <si>
    <t>O103</t>
  </si>
  <si>
    <t>P03</t>
  </si>
  <si>
    <t>HEADPHONE</t>
  </si>
  <si>
    <t>LAPPY</t>
  </si>
  <si>
    <t>3RD CASE</t>
  </si>
  <si>
    <t>sheet 1 ATTENDANCE DATA</t>
  </si>
  <si>
    <t>ISME XLOOKUP LGAO AND RANGE H:H AND I:K</t>
  </si>
  <si>
    <t>SHEET 2 EMPLOYEE MASTER</t>
  </si>
  <si>
    <t>Emp ID</t>
  </si>
  <si>
    <t>Days Present</t>
  </si>
  <si>
    <t>Emp Name</t>
  </si>
  <si>
    <t>Department</t>
  </si>
  <si>
    <t>Monthly Salary</t>
  </si>
  <si>
    <t>Rahul</t>
  </si>
  <si>
    <t>E102</t>
  </si>
  <si>
    <t>Neha</t>
  </si>
  <si>
    <t>E103</t>
  </si>
  <si>
    <t>Aman</t>
  </si>
  <si>
    <t>E104</t>
  </si>
  <si>
    <t>Riya</t>
  </si>
  <si>
    <t>Roll No</t>
  </si>
  <si>
    <t>Exam Seat No</t>
  </si>
  <si>
    <t>Student Name</t>
  </si>
  <si>
    <t>Classroom</t>
  </si>
  <si>
    <t>A209</t>
  </si>
  <si>
    <t>Arpit Shah</t>
  </si>
  <si>
    <t>8A</t>
  </si>
  <si>
    <t>B209</t>
  </si>
  <si>
    <t>Rajiv Gupta</t>
  </si>
  <si>
    <t>9B</t>
  </si>
  <si>
    <t>C209</t>
  </si>
  <si>
    <t>Satyajit Singh</t>
  </si>
  <si>
    <t>A212</t>
  </si>
  <si>
    <t>Vipul Sharma</t>
  </si>
  <si>
    <t>9C</t>
  </si>
  <si>
    <t>A210</t>
  </si>
  <si>
    <t>Shakti Bhargav</t>
  </si>
  <si>
    <t>8C</t>
  </si>
  <si>
    <t>B210</t>
  </si>
  <si>
    <t>Ramesh Shinde</t>
  </si>
  <si>
    <t>8B</t>
  </si>
  <si>
    <t>C210</t>
  </si>
  <si>
    <t>Lokesh Sharma</t>
  </si>
  <si>
    <t>A211</t>
  </si>
  <si>
    <t>Karim Shaikh</t>
  </si>
  <si>
    <t>B212</t>
  </si>
  <si>
    <t>Bijendra Gupta</t>
  </si>
  <si>
    <t>C213</t>
  </si>
  <si>
    <t>Kranti Singh</t>
  </si>
  <si>
    <t>Basic Vlookup Formula</t>
  </si>
  <si>
    <t>Product ID</t>
  </si>
  <si>
    <t>Product</t>
  </si>
  <si>
    <t>Region</t>
  </si>
  <si>
    <t>Qty Sold</t>
  </si>
  <si>
    <t>Mouse</t>
  </si>
  <si>
    <t>East</t>
  </si>
  <si>
    <t>Monitor</t>
  </si>
  <si>
    <t>West</t>
  </si>
  <si>
    <t>Printer</t>
  </si>
  <si>
    <t>South</t>
  </si>
  <si>
    <t>P04</t>
  </si>
  <si>
    <t>Processor i3</t>
  </si>
  <si>
    <t>North</t>
  </si>
  <si>
    <t>P05</t>
  </si>
  <si>
    <t>Processor i4</t>
  </si>
  <si>
    <t>P06</t>
  </si>
  <si>
    <t>Speaker</t>
  </si>
  <si>
    <t>P07</t>
  </si>
  <si>
    <t>RGB Light</t>
  </si>
  <si>
    <t>P08</t>
  </si>
  <si>
    <t>P09</t>
  </si>
  <si>
    <t>Keyboard</t>
  </si>
  <si>
    <t>P10</t>
  </si>
  <si>
    <t>Mouse 3.0</t>
  </si>
  <si>
    <t>P11</t>
  </si>
  <si>
    <t>Wireless Mouse</t>
  </si>
  <si>
    <t>P12</t>
  </si>
  <si>
    <t>HDD 256 GB</t>
  </si>
  <si>
    <t>P13</t>
  </si>
  <si>
    <t>RAM</t>
  </si>
  <si>
    <t>P14</t>
  </si>
  <si>
    <t>ROM</t>
  </si>
  <si>
    <t>P15</t>
  </si>
  <si>
    <t>Juicer</t>
  </si>
  <si>
    <t>Vlookup + Iferror - Removing #N/A Error</t>
  </si>
  <si>
    <t>Vlookup + Columns Magic</t>
  </si>
  <si>
    <t>Dynamic Vlookup - Auto Updated Vlookup Formula With DROPDOWN List</t>
  </si>
  <si>
    <t>Abc</t>
  </si>
  <si>
    <t>ERFHFD</t>
  </si>
  <si>
    <t>BCBCC</t>
  </si>
  <si>
    <t>CBSNS</t>
  </si>
  <si>
    <t>CCDN</t>
  </si>
  <si>
    <t>P16</t>
  </si>
  <si>
    <t>GGVG</t>
  </si>
  <si>
    <t>GY</t>
  </si>
  <si>
    <t>Vlookup To Extract Multiple Records</t>
  </si>
  <si>
    <t>Vlookup With Multiple Criteria ( Multiple Lookup Values )</t>
  </si>
  <si>
    <t>Helper</t>
  </si>
  <si>
    <t>Vlookup + Match Formula</t>
  </si>
  <si>
    <t>REGION</t>
  </si>
  <si>
    <t>Vlookup + Choose Formula - Reverse Vlookup</t>
  </si>
  <si>
    <t>HSN Code</t>
  </si>
  <si>
    <t>product</t>
  </si>
  <si>
    <t>EP0101</t>
  </si>
  <si>
    <t>EP0106</t>
  </si>
  <si>
    <t>EP0102</t>
  </si>
  <si>
    <t>EP0103</t>
  </si>
  <si>
    <t>EP0104</t>
  </si>
  <si>
    <t>EP0105</t>
  </si>
  <si>
    <t>EP0107</t>
  </si>
  <si>
    <t>EP0108</t>
  </si>
  <si>
    <t>EP0109</t>
  </si>
  <si>
    <t>EP0110</t>
  </si>
  <si>
    <t>EP0111</t>
  </si>
  <si>
    <t>EP0112</t>
  </si>
  <si>
    <t>Vlookup Hack</t>
  </si>
  <si>
    <t>Jan</t>
  </si>
  <si>
    <t>Feb</t>
  </si>
  <si>
    <t>Mar</t>
  </si>
  <si>
    <t>Apr</t>
  </si>
  <si>
    <t>Vlookup + Sum Magic</t>
  </si>
  <si>
    <t>Total Sale</t>
  </si>
  <si>
    <t>सबसे पहले ये पता होना चाइये की Formulas को Dynamic यानी Auto Updated कैसे बनाएं</t>
  </si>
  <si>
    <t>Stu_Name</t>
  </si>
  <si>
    <t>Phy</t>
  </si>
  <si>
    <t>Che</t>
  </si>
  <si>
    <t>Math</t>
  </si>
  <si>
    <t>Total</t>
  </si>
  <si>
    <t>Average</t>
  </si>
  <si>
    <t>Rank</t>
  </si>
  <si>
    <t>Name 1</t>
  </si>
  <si>
    <t>Name 2</t>
  </si>
  <si>
    <t>Name 3</t>
  </si>
  <si>
    <t>dfgf</t>
  </si>
  <si>
    <t>Maximum</t>
  </si>
  <si>
    <t>Minimum</t>
  </si>
  <si>
    <t>अगर नंबर के साथ Text लिखा हो तो Formula कैसे काम करेगा</t>
  </si>
  <si>
    <t>S No</t>
  </si>
  <si>
    <t>Fruits</t>
  </si>
  <si>
    <t>Qty</t>
  </si>
  <si>
    <t>Price</t>
  </si>
  <si>
    <t>Amount</t>
  </si>
  <si>
    <t>Apple</t>
  </si>
  <si>
    <t>11 Kg</t>
  </si>
  <si>
    <t xml:space="preserve">isme format cells m jake custom </t>
  </si>
  <si>
    <t>Orange</t>
  </si>
  <si>
    <t>#" kg"</t>
  </si>
  <si>
    <t>Grapes</t>
  </si>
  <si>
    <t>Banana</t>
  </si>
  <si>
    <t>10 gram</t>
  </si>
  <si>
    <t>10 pieces</t>
  </si>
  <si>
    <t>Rs 22</t>
  </si>
  <si>
    <t>20 gram</t>
  </si>
  <si>
    <t>23 pieces</t>
  </si>
  <si>
    <t>27 gram</t>
  </si>
  <si>
    <t>25 pieces</t>
  </si>
  <si>
    <t>Rs 32</t>
  </si>
  <si>
    <t>40 gram</t>
  </si>
  <si>
    <t>30 pieces</t>
  </si>
  <si>
    <t>Rs 54</t>
  </si>
  <si>
    <t>क्या आपको पता है ? की Filter के साथ Sum, Average, Max, Min, Count, Counta आदि Formulas काम नहीं करते - Subtotal</t>
  </si>
  <si>
    <t>Order ID</t>
  </si>
  <si>
    <t>Item</t>
  </si>
  <si>
    <t>Compney</t>
  </si>
  <si>
    <t>Xyz</t>
  </si>
  <si>
    <t>WoW क्या बात है मज़ा आ गया । ऐसे आप बोलोगे दोस्तों Subtotal + Vlookup Magic देखने के बाद</t>
  </si>
  <si>
    <t>Fun_Name</t>
  </si>
  <si>
    <t>Fun No</t>
  </si>
  <si>
    <t>Count</t>
  </si>
  <si>
    <t>Counta</t>
  </si>
  <si>
    <t>Max</t>
  </si>
  <si>
    <t>Min</t>
  </si>
  <si>
    <t>Sum</t>
  </si>
  <si>
    <t>Select Function - &gt;</t>
  </si>
  <si>
    <t>Count, Counta &amp; Countblank Formulaआखिर Use होते कहाँ है ? Confusion खत्म</t>
  </si>
  <si>
    <t>ये केवल Numeric Cells को Count करेगा]</t>
  </si>
  <si>
    <t>ये Non Empty Cells को Count करेगा]</t>
  </si>
  <si>
    <t>Countblank</t>
  </si>
  <si>
    <t>ये केवल खाली Cells को Count करेगा]</t>
  </si>
  <si>
    <t>Cust_ID</t>
  </si>
  <si>
    <t>Cust Name</t>
  </si>
  <si>
    <t>Acc. Tyoe</t>
  </si>
  <si>
    <t>Acc. NO</t>
  </si>
  <si>
    <t>Current</t>
  </si>
  <si>
    <t>Saving</t>
  </si>
  <si>
    <t>NA</t>
  </si>
  <si>
    <t>Name 4</t>
  </si>
  <si>
    <t>Name 5</t>
  </si>
  <si>
    <t>Name 6</t>
  </si>
  <si>
    <t>Name 7</t>
  </si>
  <si>
    <t>Name 8</t>
  </si>
  <si>
    <t>Name 9</t>
  </si>
  <si>
    <t>Wow Intresting फ़ॉर्मूलास तो ये हैं | Dsum, Daverage, Dmin, Dmax, Dcount</t>
  </si>
  <si>
    <t>MOUSE</t>
  </si>
  <si>
    <t>XYZ</t>
  </si>
  <si>
    <t>KEYBOARD</t>
  </si>
  <si>
    <t>Percentage कैसे निकाले ? Increment / Decrement कैसे करे ?</t>
  </si>
  <si>
    <t>%</t>
  </si>
  <si>
    <t>Increment by 10 %</t>
  </si>
  <si>
    <t>Tax 5%</t>
  </si>
  <si>
    <t>Decrement by 10 %</t>
  </si>
  <si>
    <t>Abs फार्मूला का Use कहाँ होता है ? देखो</t>
  </si>
  <si>
    <t>Numbers</t>
  </si>
  <si>
    <t>TRIM Formula छोटा तो है पर काम बड़ा करता है</t>
  </si>
  <si>
    <t>Total Qty</t>
  </si>
  <si>
    <t>Deepak Nehra</t>
  </si>
  <si>
    <t>Deepak EduWorld</t>
  </si>
  <si>
    <t>Learn Excel</t>
  </si>
  <si>
    <t>Excel Tips</t>
  </si>
  <si>
    <t>UPPER, LOWER &amp; PROPER FORMULA Totally Explor कर दिया रे</t>
  </si>
  <si>
    <t>Names</t>
  </si>
  <si>
    <t>Upper</t>
  </si>
  <si>
    <t>Lower</t>
  </si>
  <si>
    <t>Proper</t>
  </si>
  <si>
    <t>RAJ KUMAR</t>
  </si>
  <si>
    <t>raj kumar</t>
  </si>
  <si>
    <t>Raj Kumar</t>
  </si>
  <si>
    <t>OM</t>
  </si>
  <si>
    <t>ANIL KUMAR</t>
  </si>
  <si>
    <t>ABI SHARMA</t>
  </si>
  <si>
    <t>CONCATENATE, &amp; ये तो है ही बहुत काम का Formula | But ये अब हो गया पुराण अगला नया Formula बहुत गजब का है</t>
  </si>
  <si>
    <t>First</t>
  </si>
  <si>
    <t>Middle</t>
  </si>
  <si>
    <t>Last</t>
  </si>
  <si>
    <t>Full Name</t>
  </si>
  <si>
    <t>raj</t>
  </si>
  <si>
    <t>kumar</t>
  </si>
  <si>
    <t>sharma</t>
  </si>
  <si>
    <t>om</t>
  </si>
  <si>
    <t>prakash</t>
  </si>
  <si>
    <t>om - prakash</t>
  </si>
  <si>
    <t>abi</t>
  </si>
  <si>
    <t>abi sharma</t>
  </si>
  <si>
    <t>Ram</t>
  </si>
  <si>
    <t>singh</t>
  </si>
  <si>
    <t>dagar</t>
  </si>
  <si>
    <t>Ram singh dagar</t>
  </si>
  <si>
    <t>City</t>
  </si>
  <si>
    <t>State</t>
  </si>
  <si>
    <t>Pincode</t>
  </si>
  <si>
    <t>Phone no</t>
  </si>
  <si>
    <t>Complete Address</t>
  </si>
  <si>
    <t>Delhi</t>
  </si>
  <si>
    <t>Pwl</t>
  </si>
  <si>
    <t>Fbd</t>
  </si>
  <si>
    <t>CONCAT , TEXTJOIN, CHAR ये हैं गजब के सुपरफास्ट फ़ॉर्मूलास</t>
  </si>
  <si>
    <t>LEFT, RIGHT , MID , FIND फ़ॉर्मूलास -</t>
  </si>
  <si>
    <t>Left</t>
  </si>
  <si>
    <t>Right</t>
  </si>
  <si>
    <t>Mid</t>
  </si>
  <si>
    <t>Phone No</t>
  </si>
  <si>
    <t>Dial Code</t>
  </si>
  <si>
    <t>Contact Detail</t>
  </si>
  <si>
    <t>011-23423</t>
  </si>
  <si>
    <t>Phone 011-32343 / M0bile 87343434</t>
  </si>
  <si>
    <t>365-34222</t>
  </si>
  <si>
    <t>Phone 011-32343 / M0bile 87343435</t>
  </si>
  <si>
    <t>221-34343</t>
  </si>
  <si>
    <t>Phone 011-32343 / M0bile 87343436</t>
  </si>
  <si>
    <t>544-34432</t>
  </si>
  <si>
    <t>Phone 011-32343 / M0bile 87343437</t>
  </si>
  <si>
    <t>Hidden Character</t>
  </si>
  <si>
    <t>011 - 656555</t>
  </si>
  <si>
    <t>01274 - 454544</t>
  </si>
  <si>
    <t>91 - 5454442</t>
  </si>
  <si>
    <t>0112 - 454445</t>
  </si>
  <si>
    <t>FORMULATEXT ये भी एक काम का Formula है</t>
  </si>
  <si>
    <t>SORT FORMULA</t>
  </si>
  <si>
    <t>WEST</t>
  </si>
  <si>
    <t>982***433</t>
  </si>
  <si>
    <t>=LEFT(B225,3)&amp;"***"&amp;RIGHT(B225,3)</t>
  </si>
  <si>
    <t>ITEM</t>
  </si>
  <si>
    <t>SALE</t>
  </si>
  <si>
    <t>982***434</t>
  </si>
  <si>
    <t>ITEM1</t>
  </si>
  <si>
    <t>ITEM2</t>
  </si>
  <si>
    <t>EAST</t>
  </si>
  <si>
    <t>ITEM3</t>
  </si>
  <si>
    <t>NORTH</t>
  </si>
  <si>
    <t>RUHI</t>
  </si>
  <si>
    <t>ITEM4</t>
  </si>
  <si>
    <t>MANAV</t>
  </si>
  <si>
    <t>ITEM5</t>
  </si>
  <si>
    <t>ZOYA</t>
  </si>
  <si>
    <t>ITEM6</t>
  </si>
  <si>
    <t>Date फ़ॉर्मूलास - EDATE, EOMONTH, NOW and TODAY</t>
  </si>
  <si>
    <t>Dates</t>
  </si>
  <si>
    <t>Same Dates in Next Month</t>
  </si>
  <si>
    <t xml:space="preserve"> 7 January 2020</t>
  </si>
  <si>
    <t>EMPLOYEE NAME</t>
  </si>
  <si>
    <t>Lunch</t>
  </si>
  <si>
    <t>Normal Break</t>
  </si>
  <si>
    <t>Feedback</t>
  </si>
  <si>
    <t>Training</t>
  </si>
  <si>
    <t>Meeting</t>
  </si>
  <si>
    <t>Unwanted Break</t>
  </si>
  <si>
    <t>Other Work</t>
  </si>
  <si>
    <t>Total Break Taken</t>
  </si>
  <si>
    <t>Mum_Abdul Hamid (1008512)</t>
  </si>
  <si>
    <t>Mum_Afzal Husain (1008513)</t>
  </si>
  <si>
    <t>Mum_Anamika Gupta (1008514)</t>
  </si>
  <si>
    <t>Mum_Anikuttan (1008515)</t>
  </si>
  <si>
    <t>Mum_Anil Kumar (1008516)</t>
  </si>
  <si>
    <t>Mum_Anita Dixit (1008517)</t>
  </si>
  <si>
    <t>Mum_Anita Ghore (1008518)</t>
  </si>
  <si>
    <t>Mum_Anjali Deoram (1008519)</t>
  </si>
  <si>
    <t>Mum_Anjali Sahay (1008520)</t>
  </si>
  <si>
    <t>Mum_Annu Latika (1008521)</t>
  </si>
  <si>
    <t>Mum_Anoop Narayan (1008522)</t>
  </si>
  <si>
    <t>Mum_Anoop Raj (1008523)</t>
  </si>
  <si>
    <t>Mum_Anubhuti Gupta (1008524)</t>
  </si>
  <si>
    <t>Mum_Arun Kumar (1008525)</t>
  </si>
  <si>
    <t>Mum_Ashish Kumar (1008526)</t>
  </si>
  <si>
    <t>Mum_Ashok Kumar (1008527)</t>
  </si>
  <si>
    <t>Hyd_Ashok Kumar (1008528)</t>
  </si>
  <si>
    <t>Hyd_Ashok Kumar (1008529)</t>
  </si>
  <si>
    <t>Hyd_Ashok Kumar (1008530)</t>
  </si>
  <si>
    <t>Hyd_Ashok Mahto (1008531)</t>
  </si>
  <si>
    <t>Hyd_Atul Kumar (1008532)</t>
  </si>
  <si>
    <t>Hyd_Azam (1008533)</t>
  </si>
  <si>
    <t>Hyd_Bhagwat Singh (1008534)</t>
  </si>
  <si>
    <t>Hyd_Bindu Nair (1008535)</t>
  </si>
  <si>
    <t>Hyd_Daleep Singh (1008536)</t>
  </si>
  <si>
    <t>Hyd_Deepak Kumar (1008537)</t>
  </si>
  <si>
    <t>Hyd_Deepika Nigam (1008538)</t>
  </si>
  <si>
    <t>Hyd_Dinesh Kumar (1008539)</t>
  </si>
  <si>
    <t>Hyd_Hari Kumar (1008540)</t>
  </si>
  <si>
    <t>Hyd_Heeramani Choudhary (1008541)</t>
  </si>
  <si>
    <t>Hyd_Indra Pal (1008542)</t>
  </si>
  <si>
    <t>Hyd_Indra Singh (1008543)</t>
  </si>
  <si>
    <t>Hyd_Jagdish Chandra (1008544)</t>
  </si>
  <si>
    <t>Hyd_Jairaj Vatham (1008545)</t>
  </si>
  <si>
    <t>Hyd_Janardan Mishra (1008546)</t>
  </si>
  <si>
    <t>Hyd_Jitendra Kumar (1008547)</t>
  </si>
  <si>
    <t>Hyd_John D'Costa (1008548)</t>
  </si>
  <si>
    <t>Hyd_Julie S (1008549)</t>
  </si>
  <si>
    <t>Hyd_Jyoti Tulsani (1008550)</t>
  </si>
  <si>
    <t>Hyd_Kahkasha Parveen (1008551)</t>
  </si>
  <si>
    <t>Hyd_Kailash Nath (1008552)</t>
  </si>
  <si>
    <t>Hyd_Kalpana Agrawal (1008553)</t>
  </si>
  <si>
    <t>Hyd_Kamini Kumar (1008554)</t>
  </si>
  <si>
    <t>Hyd_Kamini Tiwari (1008555)</t>
  </si>
  <si>
    <t>Hyd_Kavita Sharma (1008556)</t>
  </si>
  <si>
    <t>Hyd_Kiran Khubchandani (1008557)</t>
  </si>
  <si>
    <t>Hyd_Kisun Sah (1008558)</t>
  </si>
  <si>
    <t>Hyd_Krishana Kumar (1008559)</t>
  </si>
  <si>
    <t>Hyd_Kunj Bihari (1008560)</t>
  </si>
  <si>
    <t>Hyd_Leena George (1008561)</t>
  </si>
  <si>
    <t>Hyd_Lilly Lucy (1008562)</t>
  </si>
  <si>
    <t>Hyd_Mangal Singh (1008563)</t>
  </si>
  <si>
    <t>Hyd_Manisha Shrivastava (1008564)</t>
  </si>
  <si>
    <t>Hyd_Manjusha Sinha (1008565)</t>
  </si>
  <si>
    <t>Hyd_ManjuTiwari Lab (1008566)</t>
  </si>
  <si>
    <t>Hyd_Manoj Kumar (1008567)</t>
  </si>
  <si>
    <t>Hyd_Manoj Kumar (1008568)</t>
  </si>
  <si>
    <t>Hyd_Masroor Adil (1008569)</t>
  </si>
  <si>
    <t>Hyd_Meena Zinjare (1008570)</t>
  </si>
  <si>
    <t>Hyd_Mehnaz Khan (1008571)</t>
  </si>
  <si>
    <t>Hyd_Mercy Thampi (1008572)</t>
  </si>
  <si>
    <t>Hyd_Miny Mole (1008573)</t>
  </si>
  <si>
    <t>Hyd_Mohd Rafi (1008574)</t>
  </si>
  <si>
    <t>Hyd_Mubeen Khan (1008575)</t>
  </si>
  <si>
    <t>Hyd_Mukesh Nagar (1008576)</t>
  </si>
  <si>
    <t>Hyd_Nandu Kumar (1008577)</t>
  </si>
  <si>
    <t>Hyd_Narayan Singh (1008578)</t>
  </si>
  <si>
    <t>Hyd_Neeraj Saxena (1008579)</t>
  </si>
  <si>
    <t>Hyd_Neeru Mehta (1008580)</t>
  </si>
  <si>
    <t>Hyd_Nikita Panwalkar (1008581)</t>
  </si>
  <si>
    <t>Hyd_Nitin Bhatia (1008582)</t>
  </si>
  <si>
    <t>Hyd_Om Prakash (1008583)</t>
  </si>
  <si>
    <t>Hyd_Omprakash O (1008584)</t>
  </si>
  <si>
    <t>Hyd_Owais Mohd (1008585)</t>
  </si>
  <si>
    <t>Hyd_Pankaj Shelkey (1008586)</t>
  </si>
  <si>
    <t>Hyd_Partha Sarathi (1008587)</t>
  </si>
  <si>
    <t>Hyd_Prabha Desikan (1008588)</t>
  </si>
  <si>
    <t>Hyd_Pramod Tiwari (1008589)</t>
  </si>
  <si>
    <t>Hyd_Prasannakumari S (1008590)</t>
  </si>
  <si>
    <t>Hyd_Praveen Kumar (1008591)</t>
  </si>
  <si>
    <t>Hyd_Rachel Mathew (1008592)</t>
  </si>
  <si>
    <t>Hyd_Rachita Anupam (1008593)</t>
  </si>
  <si>
    <t>Hyd_Rachna Chauhan (1008594)</t>
  </si>
  <si>
    <t>Hyd_Raj Kumar (1008595)</t>
  </si>
  <si>
    <t>Hyd_Rajeev Garg (1008596)</t>
  </si>
  <si>
    <t>Hyd_Rajeev Kumar (1008597)</t>
  </si>
  <si>
    <t>Hyd_Rajendra Gupta (1008598)</t>
  </si>
  <si>
    <t>Hyd_Rajendra Kumar (1008599)</t>
  </si>
  <si>
    <t>Hyd_Rajendra Prasad (1008600)</t>
  </si>
  <si>
    <t>Hyd_Rajesh Kumar (1008601)</t>
  </si>
  <si>
    <t>Hyd_Rajesh Kumar (1008602)</t>
  </si>
  <si>
    <t>Hyd_Rajesh Sharma (1008603)</t>
  </si>
  <si>
    <t>Hyd_Raji Abraham (1008604)</t>
  </si>
  <si>
    <t>Hyd_Rajshree Dhabekar (1008605)</t>
  </si>
  <si>
    <t>Hyd_Rakhi Jodhani (1008606)</t>
  </si>
  <si>
    <t>Hyd_Ramji Prasad (1008607)</t>
  </si>
  <si>
    <t>Del_Rashid (1008608)</t>
  </si>
  <si>
    <t>Del_Rashmi Gajbe (1008609)</t>
  </si>
  <si>
    <t>Del_Ravi Kumar (1008610)</t>
  </si>
  <si>
    <t>Del_Ravinder Kaur (1008611)</t>
  </si>
  <si>
    <t>Del_Rekha Agarwal (1008612)</t>
  </si>
  <si>
    <t>Del_Rekha Gupta (1008613)</t>
  </si>
  <si>
    <t>Del_Rekha Jain (1008614)</t>
  </si>
  <si>
    <t>Del_Renu Pratap (1008615)</t>
  </si>
  <si>
    <t>Del_Ritu Bhatnagar (1008616)</t>
  </si>
  <si>
    <t>Del_Rohit Nishchal (1008617)</t>
  </si>
  <si>
    <t>Del_Roli Bhatnagar (1008618)</t>
  </si>
  <si>
    <t>Del_Roma Rastogi (1008619)</t>
  </si>
  <si>
    <t>Del_Roohi Haider (1008620)</t>
  </si>
  <si>
    <t>Del_Sajid Naqvi (1008621)</t>
  </si>
  <si>
    <t>Del_Salim (1008622)</t>
  </si>
  <si>
    <t>Del_Sanjay Hire (1008623)</t>
  </si>
  <si>
    <t>Del_Sanjiv Subherwal (1008624)</t>
  </si>
  <si>
    <t>Del_Sanju Ramdas (1008625)</t>
  </si>
  <si>
    <t>Del_Santosh Kumar (1008626)</t>
  </si>
  <si>
    <t>Del_Santosh Kumar (1008627)</t>
  </si>
  <si>
    <t>Del_Santosh Kumar (1008628)</t>
  </si>
  <si>
    <t>Del_Sapna Sharma (1008629)</t>
  </si>
  <si>
    <t>Del_Saroj Parita (1008630)</t>
  </si>
  <si>
    <t>Del_Shailaja Kamal (1008631)</t>
  </si>
  <si>
    <t>Del_Shailendra Barge (1008632)</t>
  </si>
  <si>
    <t>Del_Shankar Attendant (1008633)</t>
  </si>
  <si>
    <t>Del_Shashikant Tiwari (1008634)</t>
  </si>
  <si>
    <t>Del_Sheeba Joseph (1008635)</t>
  </si>
  <si>
    <t>Del_Sheena Joseph (1008636)</t>
  </si>
  <si>
    <t>Del_Shephali Jain (1008637)</t>
  </si>
  <si>
    <t>Del_Shivji Prasad (1008638)</t>
  </si>
  <si>
    <t>Del_Shubhanjali Joshi (1008639)</t>
  </si>
  <si>
    <t>Del_Shyamal Malakar (1008640)</t>
  </si>
  <si>
    <t>Del_Sneh Khan (1008641)</t>
  </si>
  <si>
    <t>Del_Sonaram Munda (1008642)</t>
  </si>
  <si>
    <t>Del_Sudama Kumar (1008643)</t>
  </si>
  <si>
    <t>Del_Sudhir Kumar (1008644)</t>
  </si>
  <si>
    <t>Del_Sunil Kumar (1008645)</t>
  </si>
  <si>
    <t>Del_Sunil Kumar (1008646)</t>
  </si>
  <si>
    <t>Del_Sunita Chawla (1008647)</t>
  </si>
  <si>
    <t>Del_Sunita Madnani (1008648)</t>
  </si>
  <si>
    <t>Del_Surendra Kumar (1008649)</t>
  </si>
  <si>
    <t>Del_Surendranath Thakur (1008650)</t>
  </si>
  <si>
    <t>Del_Sushma Khandelwal (1008651)</t>
  </si>
  <si>
    <t>Del_Swarnlata Borse (1008652)</t>
  </si>
  <si>
    <t>Del_Syed Naved (1008653)</t>
  </si>
  <si>
    <t>Del_Syed Saqib (1008654)</t>
  </si>
  <si>
    <t>Del_Syed Sohail (1008655)</t>
  </si>
  <si>
    <t>Del_System Operator (1008656)</t>
  </si>
  <si>
    <t>Del_Tahira Qureshi (1008657)</t>
  </si>
  <si>
    <t>Del_Tapas Chakraborty (1008658)</t>
  </si>
  <si>
    <t>Del_Tariq Akhlaq (1008659)</t>
  </si>
  <si>
    <t>Del_Tasneem Khan (1008660)</t>
  </si>
  <si>
    <t>Employee</t>
  </si>
  <si>
    <t>Total Working Hours</t>
  </si>
  <si>
    <t>Work Efficiency</t>
  </si>
  <si>
    <t>Attended Calls</t>
  </si>
  <si>
    <t>Efficiency in Percentage</t>
  </si>
  <si>
    <t>Active With Cust.</t>
  </si>
  <si>
    <t>Active Time</t>
  </si>
  <si>
    <t>Other</t>
  </si>
  <si>
    <t>Not Working %</t>
  </si>
  <si>
    <t>Call Keeping</t>
  </si>
  <si>
    <t>Break During Calls</t>
  </si>
  <si>
    <t>Non Break %</t>
  </si>
  <si>
    <t>% Other Work</t>
  </si>
  <si>
    <t>Long Time</t>
  </si>
  <si>
    <t>Short Time Holds</t>
  </si>
  <si>
    <t>Long Call Holds</t>
  </si>
  <si>
    <t>No Hold</t>
  </si>
  <si>
    <t>Transferred calls</t>
  </si>
  <si>
    <t>Call Conferenced</t>
  </si>
  <si>
    <t>Call Redirected</t>
  </si>
  <si>
    <t>Hold Calls</t>
  </si>
  <si>
    <t>% of Calls onHold</t>
  </si>
  <si>
    <t>Average Duration of Calls</t>
  </si>
  <si>
    <t>Avg. In Focus Hold Calls</t>
  </si>
  <si>
    <t>Calls Unattend Time'</t>
  </si>
  <si>
    <t>Total Number of woking hours</t>
  </si>
  <si>
    <t>REPORT1: WORKING HOURS</t>
  </si>
  <si>
    <t>ROW LABLES</t>
  </si>
  <si>
    <t>EMPLOYEE TOTAL NUMBER OF WORKING HOURS</t>
  </si>
  <si>
    <t>Ashok Kumar</t>
  </si>
  <si>
    <t>Manoj Kumar</t>
  </si>
  <si>
    <t>Rajesh Kumar</t>
  </si>
  <si>
    <t>Santosh Kumar</t>
  </si>
  <si>
    <t>Sunil Kumar</t>
  </si>
  <si>
    <t>1. VLOOKUP Formula (Advanced Use Cases)</t>
  </si>
  <si>
    <t>Location</t>
  </si>
  <si>
    <t>Rohan</t>
  </si>
  <si>
    <t>Mumbai</t>
  </si>
  <si>
    <t>Priya</t>
  </si>
  <si>
    <t>Pune</t>
  </si>
  <si>
    <t>not found</t>
  </si>
  <si>
    <t>Karan</t>
  </si>
  <si>
    <t>Chennai</t>
  </si>
  <si>
    <t>Sheetal</t>
  </si>
  <si>
    <t>Mohit</t>
  </si>
  <si>
    <t>neha</t>
  </si>
  <si>
    <t>SEQUENCE</t>
  </si>
  <si>
    <t>Kavya</t>
  </si>
  <si>
    <t>Bangalore</t>
  </si>
  <si>
    <t>HACK</t>
  </si>
  <si>
    <t>Sneha</t>
  </si>
  <si>
    <t>sneha</t>
  </si>
  <si>
    <t>2. INDEX and MATCH Formula</t>
  </si>
  <si>
    <t>name</t>
  </si>
  <si>
    <t>6. Sumif and Sumifs</t>
  </si>
  <si>
    <t>Working Shift</t>
  </si>
  <si>
    <t>Total Salary</t>
  </si>
  <si>
    <t>Morning</t>
  </si>
  <si>
    <t>it</t>
  </si>
  <si>
    <t>Evening</t>
  </si>
  <si>
    <t>morning</t>
  </si>
  <si>
    <t>evening</t>
  </si>
  <si>
    <t>Sonu</t>
  </si>
  <si>
    <t>Tinku</t>
  </si>
  <si>
    <t>Sumit</t>
  </si>
  <si>
    <t>Sunny</t>
  </si>
  <si>
    <t>7. Countif and Countifs</t>
  </si>
  <si>
    <t>Total Emp.</t>
  </si>
  <si>
    <t>8. Subtotal Formula</t>
  </si>
  <si>
    <t>Category</t>
  </si>
  <si>
    <t>Units</t>
  </si>
  <si>
    <t>Clothing</t>
  </si>
  <si>
    <t>T-Shirt</t>
  </si>
  <si>
    <t>9 no wala sirf filter k sath work krega</t>
  </si>
  <si>
    <t>Electronics</t>
  </si>
  <si>
    <t>Mobile</t>
  </si>
  <si>
    <t>109 wala dono filter/hide k sath work krega</t>
  </si>
  <si>
    <t>Grocery</t>
  </si>
  <si>
    <t>Sugar</t>
  </si>
  <si>
    <t>Laptop</t>
  </si>
  <si>
    <t>Tablet</t>
  </si>
  <si>
    <t>Jeans</t>
  </si>
  <si>
    <t>9. Textjoin formula</t>
  </si>
  <si>
    <t>First Name</t>
  </si>
  <si>
    <t>Middle Name</t>
  </si>
  <si>
    <t>Last Name</t>
  </si>
  <si>
    <t>Kumar</t>
  </si>
  <si>
    <t>Singh</t>
  </si>
  <si>
    <t>Devi</t>
  </si>
  <si>
    <t>Yadav</t>
  </si>
  <si>
    <t>Rani</t>
  </si>
  <si>
    <t>Verma</t>
  </si>
  <si>
    <t>Mehta</t>
  </si>
  <si>
    <t>Meera</t>
  </si>
  <si>
    <t>Kaur</t>
  </si>
  <si>
    <t>Gill</t>
  </si>
  <si>
    <t>Sohan</t>
  </si>
  <si>
    <t>Raj</t>
  </si>
  <si>
    <t>Ankit</t>
  </si>
  <si>
    <t>Gupta</t>
  </si>
  <si>
    <t>9. Textjoin + filter formula</t>
  </si>
  <si>
    <t>Status</t>
  </si>
  <si>
    <t>Joining Date</t>
  </si>
  <si>
    <t>Active</t>
  </si>
  <si>
    <t>Priya Singh</t>
  </si>
  <si>
    <t>Inactive</t>
  </si>
  <si>
    <t>Amit Kumar</t>
  </si>
  <si>
    <t>Minku</t>
  </si>
  <si>
    <t>Lalit</t>
  </si>
  <si>
    <t>10. Formulatext formula</t>
  </si>
  <si>
    <t>=VLOOKUP(H4,C3:F13,3,0)</t>
  </si>
  <si>
    <t>=SUMIF(D3:D13,H8,E3:E13)</t>
  </si>
  <si>
    <t>f</t>
  </si>
  <si>
    <t>5. FILTER Formula</t>
  </si>
  <si>
    <t>&gt; Filter All Records of IT DEPARTMENT.</t>
  </si>
  <si>
    <t>&gt; Filter refords from MUMBAI location</t>
  </si>
  <si>
    <t>&gt; Filter only NAME of IT DEPARTMENT.</t>
  </si>
  <si>
    <t>&gt; Filter all NAME and SALARY of IT DEPARTMENT.</t>
  </si>
  <si>
    <t>&gt; Filter all records where salary is less than 55000</t>
  </si>
  <si>
    <t>&gt; Filter all records where DEPARTMENT is HR</t>
  </si>
  <si>
    <t>and SALARY is less than 55000</t>
  </si>
  <si>
    <t>Project ID</t>
  </si>
  <si>
    <t>P001</t>
  </si>
  <si>
    <t>ANIRUDDHA KALE</t>
  </si>
  <si>
    <t>ASLAM RAZA</t>
  </si>
  <si>
    <t>P002</t>
  </si>
  <si>
    <t>P003</t>
  </si>
  <si>
    <t>ROSHAN ZAMEER</t>
  </si>
  <si>
    <t>P004</t>
  </si>
  <si>
    <t>RAKESH SHARMA</t>
  </si>
  <si>
    <t>P005</t>
  </si>
  <si>
    <t>SHIVANAND SAHANI</t>
  </si>
  <si>
    <t>P006</t>
  </si>
  <si>
    <t>KUNTAL PATRA</t>
  </si>
  <si>
    <t>P007</t>
  </si>
  <si>
    <t>BIJENDRA SINGH</t>
  </si>
  <si>
    <t>P008</t>
  </si>
  <si>
    <t>KRANTI BHEKE</t>
  </si>
  <si>
    <t>P009</t>
  </si>
  <si>
    <t>JAGDEEP PAWARD</t>
  </si>
  <si>
    <t>P010</t>
  </si>
  <si>
    <t>ADHIR SAMAL</t>
  </si>
  <si>
    <t>P011</t>
  </si>
  <si>
    <t>DANNANA JHAMMI</t>
  </si>
  <si>
    <t>P012</t>
  </si>
  <si>
    <t>VIPIN KUMAR</t>
  </si>
  <si>
    <t>P013</t>
  </si>
  <si>
    <t>RANJEET KUMAR</t>
  </si>
  <si>
    <t>P014</t>
  </si>
  <si>
    <t>SAJAL SINGHAL</t>
  </si>
  <si>
    <t>P015</t>
  </si>
  <si>
    <t>AKHILESH KUMAR</t>
  </si>
  <si>
    <t>P016</t>
  </si>
  <si>
    <t>SUVANKAR CHAKRABORTY</t>
  </si>
  <si>
    <t>P017</t>
  </si>
  <si>
    <t>SUVANKAR ADHIKARY</t>
  </si>
  <si>
    <t>Data1</t>
  </si>
  <si>
    <t>Data2</t>
  </si>
  <si>
    <t>Data3</t>
  </si>
  <si>
    <t>Bill No.</t>
  </si>
  <si>
    <t>Quantity</t>
  </si>
  <si>
    <t>LED</t>
  </si>
  <si>
    <t>LCD</t>
  </si>
  <si>
    <t>Headphone</t>
  </si>
  <si>
    <t>Enter Bill No.</t>
  </si>
  <si>
    <t>Pendrive</t>
  </si>
  <si>
    <t>HDD</t>
  </si>
  <si>
    <t>SSD</t>
  </si>
  <si>
    <t>PRODUCT QTY SIRF CHEEZE THI...ISLIE NO ROW(), BUT IF ZYADA COLUMNS + SAME FORMULA DRAG KRNA HOTA TO DYNAMIC COLUMN BNATE BY ROW()</t>
  </si>
  <si>
    <t>#1 : XLOOKUP BASIC</t>
  </si>
  <si>
    <t>Customer Name</t>
  </si>
  <si>
    <t>Cust ID</t>
  </si>
  <si>
    <t>Product Name</t>
  </si>
  <si>
    <t>Unit Price</t>
  </si>
  <si>
    <t>ORD001</t>
  </si>
  <si>
    <t>Manish Jain</t>
  </si>
  <si>
    <t>CU01</t>
  </si>
  <si>
    <t>Headphones</t>
  </si>
  <si>
    <t>ORD002</t>
  </si>
  <si>
    <t>CU02</t>
  </si>
  <si>
    <t>Chair</t>
  </si>
  <si>
    <t>ORD008</t>
  </si>
  <si>
    <t>ORD003</t>
  </si>
  <si>
    <t>Rahul Mehta</t>
  </si>
  <si>
    <t>CU03</t>
  </si>
  <si>
    <t>Table</t>
  </si>
  <si>
    <t>Anjali Gupta</t>
  </si>
  <si>
    <t>CU04</t>
  </si>
  <si>
    <t>USB Cable</t>
  </si>
  <si>
    <t>ORD005</t>
  </si>
  <si>
    <t>Pooja Rao</t>
  </si>
  <si>
    <t>CU05</t>
  </si>
  <si>
    <t>Charger</t>
  </si>
  <si>
    <t>CU073</t>
  </si>
  <si>
    <t>ORD006</t>
  </si>
  <si>
    <t>Kiran Joshi</t>
  </si>
  <si>
    <t>CU06</t>
  </si>
  <si>
    <t>ORD007</t>
  </si>
  <si>
    <t>Sneha Verma</t>
  </si>
  <si>
    <t>CU07</t>
  </si>
  <si>
    <t>CU08</t>
  </si>
  <si>
    <t>Power Bank</t>
  </si>
  <si>
    <t>ORD009</t>
  </si>
  <si>
    <t>CU09</t>
  </si>
  <si>
    <t>#2 : XLOOKUP ALL DATA</t>
  </si>
  <si>
    <t>#3 : XLOOKUP Multiple Records</t>
  </si>
  <si>
    <t>#4 : XLOOKUP + Transpose</t>
  </si>
  <si>
    <t>ORD010</t>
  </si>
  <si>
    <t>CU10</t>
  </si>
  <si>
    <t>ORD011</t>
  </si>
  <si>
    <t>CU11</t>
  </si>
  <si>
    <t>ORD012</t>
  </si>
  <si>
    <t>CU12</t>
  </si>
  <si>
    <t>ORD013</t>
  </si>
  <si>
    <t>CU13</t>
  </si>
  <si>
    <t>ORD014</t>
  </si>
  <si>
    <t>CU14</t>
  </si>
  <si>
    <t>ORD015</t>
  </si>
  <si>
    <t>CU15</t>
  </si>
  <si>
    <t>ORD016</t>
  </si>
  <si>
    <t>CU16</t>
  </si>
  <si>
    <t>#5 : XLOOKUP Multiple Columns ( with choose)</t>
  </si>
  <si>
    <t>May</t>
  </si>
  <si>
    <t>Jun</t>
  </si>
  <si>
    <t>Microwave</t>
  </si>
  <si>
    <t>Phone</t>
  </si>
  <si>
    <t>ac</t>
  </si>
  <si>
    <t>AC</t>
  </si>
  <si>
    <t>Oven</t>
  </si>
  <si>
    <t>#6 : XLOOKUP Multiple Columns ( with choosecols)</t>
  </si>
  <si>
    <t>#7 : XLOOKUP Multiple Lookup Values</t>
  </si>
  <si>
    <t>Seller ID</t>
  </si>
  <si>
    <t>AB002</t>
  </si>
  <si>
    <t>AB003</t>
  </si>
  <si>
    <t>AB007</t>
  </si>
  <si>
    <t>AB004</t>
  </si>
  <si>
    <t>AB001</t>
  </si>
  <si>
    <t>AB005</t>
  </si>
  <si>
    <t>#8 : Two Way XLOOKUP</t>
  </si>
  <si>
    <t>Month</t>
  </si>
  <si>
    <t>PHONE</t>
  </si>
  <si>
    <t>MARCH</t>
  </si>
  <si>
    <t>UNIT PRICE</t>
  </si>
  <si>
    <t>#9 : XLOOKUP in Multiple Tables (Nested Xlookup)</t>
  </si>
  <si>
    <t>ORD004</t>
  </si>
  <si>
    <t>ORD0010</t>
  </si>
  <si>
    <t>ORD0011</t>
  </si>
  <si>
    <t>#10 : XLOOKUP Multiple Sheets</t>
  </si>
  <si>
    <t>ORDER DATE</t>
  </si>
  <si>
    <t>CUST ID</t>
  </si>
  <si>
    <t>CUSTOMER NAME</t>
  </si>
  <si>
    <t>ADDRESS</t>
  </si>
  <si>
    <t>PODUCT NAME</t>
  </si>
  <si>
    <t>CU001</t>
  </si>
  <si>
    <t>MANISH JAIN</t>
  </si>
  <si>
    <t>DCHD</t>
  </si>
  <si>
    <t>CU002</t>
  </si>
  <si>
    <t xml:space="preserve">CHAIR </t>
  </si>
  <si>
    <t>PRIYA SINGH</t>
  </si>
  <si>
    <t>DHD</t>
  </si>
  <si>
    <t>CU003</t>
  </si>
  <si>
    <t>TABLE</t>
  </si>
  <si>
    <t>RAHUL MEHTA</t>
  </si>
  <si>
    <t>DMHMHSD</t>
  </si>
  <si>
    <t>CU004</t>
  </si>
  <si>
    <t>USB CABLE</t>
  </si>
  <si>
    <t>ANJALI GUPTA</t>
  </si>
  <si>
    <t>HJ'</t>
  </si>
  <si>
    <t>CU005</t>
  </si>
  <si>
    <t>POOJA RAO</t>
  </si>
  <si>
    <t>DJ</t>
  </si>
  <si>
    <t>CU006</t>
  </si>
  <si>
    <t>KIEAN JOSHI</t>
  </si>
  <si>
    <t>DJDHW</t>
  </si>
  <si>
    <t>CU007</t>
  </si>
  <si>
    <t>SNEHA VERMA</t>
  </si>
  <si>
    <t>JHWJ</t>
  </si>
  <si>
    <t>CU008</t>
  </si>
  <si>
    <t>CDJKCJ</t>
  </si>
  <si>
    <t>CU009</t>
  </si>
  <si>
    <t>JFEJK</t>
  </si>
  <si>
    <t>#11 : XLOOKUP + TRIM</t>
  </si>
  <si>
    <t>#12 : Auto Updated XLOOKUP</t>
  </si>
  <si>
    <t>ORD0012</t>
  </si>
  <si>
    <t>MANDEEEP SINGH</t>
  </si>
  <si>
    <t>#13 : Bonus Trick</t>
  </si>
  <si>
    <t>Order Date</t>
  </si>
  <si>
    <t>Product Category</t>
  </si>
  <si>
    <t>Unit Cost</t>
  </si>
  <si>
    <t>Furniture</t>
  </si>
  <si>
    <t>Accessories</t>
  </si>
  <si>
    <t>Deepak Yadav</t>
  </si>
  <si>
    <t>Product NAME</t>
  </si>
  <si>
    <t>TABLET</t>
  </si>
  <si>
    <t>14: SUM</t>
  </si>
  <si>
    <t xml:space="preserve">CUSTOMER NAME </t>
  </si>
  <si>
    <t>BALANCE</t>
  </si>
  <si>
    <t>ACNT NO</t>
  </si>
  <si>
    <t>ACNT TYPE</t>
  </si>
  <si>
    <t>PTH</t>
  </si>
  <si>
    <t>SAVING</t>
  </si>
  <si>
    <t>CRRNT</t>
  </si>
  <si>
    <t>CASE1</t>
  </si>
  <si>
    <t xml:space="preserve">RIO </t>
  </si>
  <si>
    <t>GIC</t>
  </si>
  <si>
    <t>PRINCE</t>
  </si>
  <si>
    <t>CDELHI</t>
  </si>
  <si>
    <t>RISHI</t>
  </si>
  <si>
    <t>MUMBAI</t>
  </si>
  <si>
    <t>KOMAL</t>
  </si>
  <si>
    <t>ARU</t>
  </si>
  <si>
    <t>DATE</t>
  </si>
  <si>
    <t>SHIVAM</t>
  </si>
  <si>
    <t>ROHIT</t>
  </si>
  <si>
    <t>MOHIT</t>
  </si>
  <si>
    <t>NEHA</t>
  </si>
  <si>
    <t>AKRITI</t>
  </si>
  <si>
    <t>ORDER ID</t>
  </si>
  <si>
    <t>PRODUCT</t>
  </si>
  <si>
    <t>SALES VALUE</t>
  </si>
  <si>
    <t>O01</t>
  </si>
  <si>
    <t>BULB</t>
  </si>
  <si>
    <t>O02</t>
  </si>
  <si>
    <t>TV</t>
  </si>
  <si>
    <t>ALMORA</t>
  </si>
  <si>
    <t>O03</t>
  </si>
  <si>
    <t>SPEAKERS</t>
  </si>
  <si>
    <t xml:space="preserve">DHARCHULA </t>
  </si>
  <si>
    <t>O04</t>
  </si>
  <si>
    <t>FRIDGE</t>
  </si>
  <si>
    <t>KHATIMA</t>
  </si>
  <si>
    <t>O05</t>
  </si>
  <si>
    <t>GAS</t>
  </si>
  <si>
    <t>NAINITAL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</si>
  <si>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</si>
  <si>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</si>
  <si>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</si>
  <si>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</si>
  <si>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</si>
  <si>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</si>
  <si>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</si>
  <si>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</si>
  <si>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</si>
  <si>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</si>
  <si>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</si>
  <si>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</si>
  <si>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KHATMINA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</si>
</sst>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5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scheme val="minor"/>
    </font>
    <font>
      <b/>
      <sz val="10"/>
      <color rgb="FFFFFFFF"/>
      <name val="Calibri"/>
      <charset val="1"/>
    </font>
    <font>
      <sz val="10"/>
      <color theme="1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sz val="10"/>
      <color rgb="FFFFFFFF"/>
      <name val="Calibri"/>
      <charset val="1"/>
    </font>
    <font>
      <b/>
      <sz val="24"/>
      <color rgb="FF000000"/>
      <name val="Aptos Narrow"/>
      <scheme val="minor"/>
    </font>
    <font>
      <sz val="2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24"/>
      <color rgb="FF00000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i/>
      <sz val="36"/>
      <color rgb="FF000000"/>
      <name val="Aptos Narrow"/>
      <charset val="1"/>
    </font>
    <font>
      <sz val="18"/>
      <color theme="1"/>
      <name val="Aptos Narrow"/>
      <charset val="1"/>
    </font>
    <font>
      <b/>
      <sz val="18"/>
      <color rgb="FF000000"/>
      <name val="Aptos Narrow"/>
      <charset val="1"/>
    </font>
    <font>
      <sz val="18"/>
      <color rgb="FF000000"/>
      <name val="Aptos Narrow"/>
      <charset val="1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rgb="FF000000"/>
      <name val="Aptos Narrow"/>
      <family val="2"/>
      <charset val="1"/>
    </font>
    <font>
      <b/>
      <sz val="18"/>
      <color theme="1"/>
      <name val="Aptos Narrow"/>
      <charset val="1"/>
    </font>
    <font>
      <b/>
      <sz val="18"/>
      <color rgb="FF000000"/>
      <name val="Aptos Narrow"/>
      <family val="2"/>
      <charset val="1"/>
    </font>
    <font>
      <sz val="16"/>
      <color rgb="FF000000"/>
      <name val="Aptos Narrow"/>
      <scheme val="minor"/>
    </font>
    <font>
      <b/>
      <sz val="16"/>
      <color rgb="FF000000"/>
      <name val="Aptos Narrow"/>
      <charset val="1"/>
    </font>
    <font>
      <sz val="16"/>
      <color rgb="FF000000"/>
      <name val="Aptos Narrow"/>
      <charset val="1"/>
    </font>
    <font>
      <b/>
      <sz val="13.5"/>
      <color rgb="FFFFFFFF"/>
      <name val="Aptos Narrow"/>
      <charset val="1"/>
    </font>
    <font>
      <sz val="13.5"/>
      <color theme="1"/>
      <name val="Aptos Narrow"/>
      <charset val="1"/>
    </font>
    <font>
      <b/>
      <sz val="13.5"/>
      <color rgb="FF000000"/>
      <name val="Aptos Narrow"/>
      <charset val="1"/>
    </font>
    <font>
      <sz val="13.5"/>
      <color rgb="FF000000"/>
      <name val="Aptos Narrow"/>
      <charset val="1"/>
    </font>
    <font>
      <b/>
      <sz val="13.5"/>
      <color rgb="FF0E2841"/>
      <name val="Aptos Narrow"/>
      <charset val="1"/>
    </font>
    <font>
      <b/>
      <sz val="20"/>
      <color rgb="FF000000"/>
      <name val="Aptos Narrow"/>
      <charset val="1"/>
    </font>
    <font>
      <sz val="20"/>
      <color theme="1"/>
      <name val="Aptos Narrow"/>
      <charset val="1"/>
    </font>
    <font>
      <b/>
      <sz val="16"/>
      <color rgb="FF242424"/>
      <name val="Aptos Narrow"/>
      <charset val="1"/>
    </font>
    <font>
      <b/>
      <sz val="26"/>
      <color rgb="FF000000"/>
      <name val="Aptos Narrow"/>
      <charset val="1"/>
    </font>
    <font>
      <sz val="26"/>
      <color theme="1"/>
      <name val="Aptos Narrow"/>
      <charset val="1"/>
    </font>
    <font>
      <b/>
      <sz val="24"/>
      <color rgb="FF000000"/>
      <name val="Aptos Narrow"/>
      <charset val="1"/>
    </font>
    <font>
      <sz val="24"/>
      <color theme="1"/>
      <name val="Aptos Narrow"/>
      <charset val="1"/>
    </font>
    <font>
      <sz val="16"/>
      <color theme="1"/>
      <name val="Aptos Narrow"/>
      <charset val="1"/>
    </font>
    <font>
      <sz val="13.5"/>
      <color theme="1"/>
      <name val="Calibri"/>
      <charset val="1"/>
    </font>
    <font>
      <b/>
      <sz val="13.5"/>
      <color rgb="FF000000"/>
      <name val="Calibri"/>
      <charset val="1"/>
    </font>
    <font>
      <sz val="13.5"/>
      <color rgb="FF000000"/>
      <name val="Calibri"/>
      <charset val="1"/>
    </font>
    <font>
      <b/>
      <sz val="13.5"/>
      <color theme="1"/>
      <name val="Calibri"/>
      <charset val="1"/>
    </font>
    <font>
      <b/>
      <sz val="13.5"/>
      <color rgb="FFC00000"/>
      <name val="Calibri"/>
      <charset val="1"/>
    </font>
    <font>
      <sz val="14"/>
      <color rgb="FFFF0000"/>
      <name val="Calibri"/>
      <charset val="1"/>
    </font>
    <font>
      <b/>
      <sz val="10"/>
      <color rgb="FF000000"/>
      <name val="Tahoma"/>
      <charset val="1"/>
    </font>
    <font>
      <sz val="10"/>
      <color rgb="FF000000"/>
      <name val="Tahoma"/>
      <charset val="1"/>
    </font>
    <font>
      <b/>
      <sz val="7.5"/>
      <color rgb="FF000000"/>
      <name val="Tahoma"/>
      <charset val="1"/>
    </font>
    <font>
      <sz val="16"/>
      <color theme="0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1D84"/>
        <bgColor indexed="64"/>
      </patternFill>
    </fill>
    <fill>
      <patternFill patternType="solid">
        <fgColor rgb="FFF595E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1E5F5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CAEEFB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DC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CAE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7558519241921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FF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608BB4"/>
      </left>
      <right style="thin">
        <color rgb="FF608BB4"/>
      </right>
      <top style="thin">
        <color rgb="FF608BB4"/>
      </top>
      <bottom style="thin">
        <color rgb="FF608BB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8">
    <xf numFmtId="0" fontId="0" fillId="0" borderId="0" xfId="0"/>
    <xf numFmtId="1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/>
    <xf numFmtId="1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0" borderId="0" xfId="0" applyFont="1"/>
    <xf numFmtId="0" fontId="1" fillId="7" borderId="1" xfId="0" applyFont="1" applyFill="1" applyBorder="1" applyAlignment="1">
      <alignment horizontal="center"/>
    </xf>
    <xf numFmtId="0" fontId="0" fillId="7" borderId="1" xfId="0" applyFill="1" applyBorder="1"/>
    <xf numFmtId="0" fontId="2" fillId="7" borderId="1" xfId="0" applyFont="1" applyFill="1" applyBorder="1"/>
    <xf numFmtId="0" fontId="1" fillId="7" borderId="1" xfId="0" applyFont="1" applyFill="1" applyBorder="1"/>
    <xf numFmtId="0" fontId="0" fillId="7" borderId="1" xfId="0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7" borderId="1" xfId="0" applyFont="1" applyFill="1" applyBorder="1"/>
    <xf numFmtId="0" fontId="3" fillId="7" borderId="1" xfId="0" applyFont="1" applyFill="1" applyBorder="1"/>
    <xf numFmtId="0" fontId="0" fillId="0" borderId="0" xfId="0" applyAlignment="1">
      <alignment wrapText="1"/>
    </xf>
    <xf numFmtId="0" fontId="5" fillId="8" borderId="1" xfId="0" applyFont="1" applyFill="1" applyBorder="1"/>
    <xf numFmtId="0" fontId="6" fillId="0" borderId="0" xfId="0" applyFont="1"/>
    <xf numFmtId="0" fontId="7" fillId="0" borderId="1" xfId="0" applyFont="1" applyBorder="1"/>
    <xf numFmtId="0" fontId="5" fillId="8" borderId="0" xfId="0" applyFont="1" applyFill="1"/>
    <xf numFmtId="0" fontId="8" fillId="0" borderId="1" xfId="0" applyFont="1" applyBorder="1"/>
    <xf numFmtId="0" fontId="6" fillId="0" borderId="1" xfId="0" applyFont="1" applyBorder="1"/>
    <xf numFmtId="0" fontId="0" fillId="10" borderId="0" xfId="0" applyFill="1"/>
    <xf numFmtId="0" fontId="0" fillId="11" borderId="0" xfId="0" applyFill="1"/>
    <xf numFmtId="0" fontId="8" fillId="9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13" borderId="1" xfId="0" applyFont="1" applyFill="1" applyBorder="1"/>
    <xf numFmtId="0" fontId="7" fillId="13" borderId="1" xfId="0" applyFont="1" applyFill="1" applyBorder="1" applyAlignment="1">
      <alignment wrapText="1"/>
    </xf>
    <xf numFmtId="0" fontId="8" fillId="5" borderId="1" xfId="0" applyFont="1" applyFill="1" applyBorder="1"/>
    <xf numFmtId="0" fontId="5" fillId="14" borderId="0" xfId="0" applyFont="1" applyFill="1"/>
    <xf numFmtId="0" fontId="9" fillId="14" borderId="0" xfId="0" applyFont="1" applyFill="1"/>
    <xf numFmtId="0" fontId="8" fillId="0" borderId="2" xfId="0" applyFont="1" applyBorder="1"/>
    <xf numFmtId="0" fontId="8" fillId="15" borderId="1" xfId="0" applyFont="1" applyFill="1" applyBorder="1"/>
    <xf numFmtId="0" fontId="8" fillId="15" borderId="1" xfId="0" applyFont="1" applyFill="1" applyBorder="1" applyAlignment="1">
      <alignment wrapText="1"/>
    </xf>
    <xf numFmtId="0" fontId="7" fillId="16" borderId="1" xfId="0" applyFont="1" applyFill="1" applyBorder="1"/>
    <xf numFmtId="0" fontId="7" fillId="16" borderId="1" xfId="0" applyFont="1" applyFill="1" applyBorder="1" applyAlignment="1">
      <alignment wrapText="1"/>
    </xf>
    <xf numFmtId="0" fontId="10" fillId="3" borderId="0" xfId="0" applyFont="1" applyFill="1"/>
    <xf numFmtId="0" fontId="11" fillId="3" borderId="0" xfId="0" applyFont="1" applyFill="1"/>
    <xf numFmtId="0" fontId="11" fillId="3" borderId="0" xfId="0" applyFont="1" applyFill="1" applyAlignment="1">
      <alignment wrapText="1"/>
    </xf>
    <xf numFmtId="0" fontId="10" fillId="3" borderId="0" xfId="0" applyFont="1" applyFill="1" applyAlignment="1">
      <alignment wrapText="1"/>
    </xf>
    <xf numFmtId="0" fontId="12" fillId="0" borderId="0" xfId="0" applyFont="1"/>
    <xf numFmtId="0" fontId="13" fillId="0" borderId="0" xfId="0" applyFont="1"/>
    <xf numFmtId="14" fontId="7" fillId="0" borderId="1" xfId="0" applyNumberFormat="1" applyFont="1" applyBorder="1"/>
    <xf numFmtId="0" fontId="9" fillId="8" borderId="1" xfId="0" applyFont="1" applyFill="1" applyBorder="1"/>
    <xf numFmtId="0" fontId="7" fillId="17" borderId="1" xfId="0" applyFont="1" applyFill="1" applyBorder="1"/>
    <xf numFmtId="0" fontId="16" fillId="3" borderId="0" xfId="0" applyFont="1" applyFill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17" fillId="3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1" fillId="12" borderId="0" xfId="0" applyFont="1" applyFill="1"/>
    <xf numFmtId="0" fontId="0" fillId="12" borderId="0" xfId="0" applyFill="1"/>
    <xf numFmtId="0" fontId="18" fillId="1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1" xfId="0" applyFont="1" applyBorder="1"/>
    <xf numFmtId="0" fontId="0" fillId="0" borderId="1" xfId="0" applyBorder="1"/>
    <xf numFmtId="0" fontId="13" fillId="3" borderId="0" xfId="0" applyFont="1" applyFill="1"/>
    <xf numFmtId="0" fontId="1" fillId="23" borderId="0" xfId="0" applyFont="1" applyFill="1" applyBorder="1"/>
    <xf numFmtId="0" fontId="0" fillId="24" borderId="0" xfId="0" applyFill="1" applyBorder="1"/>
    <xf numFmtId="0" fontId="14" fillId="18" borderId="0" xfId="0" applyFont="1" applyFill="1" applyBorder="1" applyAlignment="1">
      <alignment readingOrder="1"/>
    </xf>
    <xf numFmtId="0" fontId="15" fillId="19" borderId="0" xfId="0" applyFont="1" applyFill="1" applyBorder="1" applyAlignment="1">
      <alignment readingOrder="1"/>
    </xf>
    <xf numFmtId="0" fontId="14" fillId="2" borderId="0" xfId="0" applyFont="1" applyFill="1" applyBorder="1" applyAlignment="1">
      <alignment readingOrder="1"/>
    </xf>
    <xf numFmtId="0" fontId="14" fillId="11" borderId="0" xfId="0" applyFont="1" applyFill="1" applyBorder="1" applyAlignment="1">
      <alignment readingOrder="1"/>
    </xf>
    <xf numFmtId="0" fontId="15" fillId="11" borderId="0" xfId="0" applyFont="1" applyFill="1" applyBorder="1" applyAlignment="1">
      <alignment readingOrder="1"/>
    </xf>
    <xf numFmtId="0" fontId="14" fillId="20" borderId="0" xfId="0" applyFont="1" applyFill="1" applyBorder="1" applyAlignment="1">
      <alignment readingOrder="1"/>
    </xf>
    <xf numFmtId="0" fontId="14" fillId="17" borderId="0" xfId="0" applyFont="1" applyFill="1" applyBorder="1" applyAlignment="1">
      <alignment readingOrder="1"/>
    </xf>
    <xf numFmtId="0" fontId="15" fillId="17" borderId="0" xfId="0" applyFont="1" applyFill="1" applyBorder="1" applyAlignment="1">
      <alignment readingOrder="1"/>
    </xf>
    <xf numFmtId="0" fontId="0" fillId="0" borderId="0" xfId="0" applyBorder="1"/>
    <xf numFmtId="0" fontId="13" fillId="3" borderId="0" xfId="0" applyFont="1" applyFill="1" applyBorder="1"/>
    <xf numFmtId="0" fontId="3" fillId="21" borderId="0" xfId="0" applyFont="1" applyFill="1" applyBorder="1" applyAlignment="1">
      <alignment horizontal="center"/>
    </xf>
    <xf numFmtId="0" fontId="4" fillId="22" borderId="0" xfId="0" applyFont="1" applyFill="1" applyBorder="1"/>
    <xf numFmtId="0" fontId="3" fillId="22" borderId="0" xfId="0" applyFont="1" applyFill="1" applyBorder="1"/>
    <xf numFmtId="0" fontId="1" fillId="21" borderId="0" xfId="0" applyFont="1" applyFill="1" applyBorder="1" applyAlignment="1">
      <alignment horizontal="center"/>
    </xf>
    <xf numFmtId="0" fontId="0" fillId="22" borderId="0" xfId="0" applyFill="1" applyBorder="1"/>
    <xf numFmtId="0" fontId="2" fillId="22" borderId="0" xfId="0" applyFont="1" applyFill="1" applyBorder="1"/>
    <xf numFmtId="0" fontId="1" fillId="22" borderId="0" xfId="0" applyFont="1" applyFill="1" applyBorder="1" applyAlignment="1">
      <alignment horizontal="center"/>
    </xf>
    <xf numFmtId="0" fontId="0" fillId="22" borderId="0" xfId="0" applyFill="1" applyBorder="1" applyAlignment="1">
      <alignment horizontal="center"/>
    </xf>
    <xf numFmtId="0" fontId="1" fillId="25" borderId="0" xfId="0" applyFont="1" applyFill="1"/>
    <xf numFmtId="0" fontId="0" fillId="25" borderId="0" xfId="0" applyFill="1"/>
    <xf numFmtId="0" fontId="5" fillId="8" borderId="2" xfId="0" applyFont="1" applyFill="1" applyBorder="1"/>
    <xf numFmtId="0" fontId="18" fillId="0" borderId="0" xfId="0" applyFont="1"/>
    <xf numFmtId="0" fontId="19" fillId="26" borderId="0" xfId="0" applyFont="1" applyFill="1" applyAlignment="1">
      <alignment wrapText="1"/>
    </xf>
    <xf numFmtId="0" fontId="2" fillId="23" borderId="0" xfId="0" applyFont="1" applyFill="1"/>
    <xf numFmtId="0" fontId="1" fillId="23" borderId="0" xfId="0" applyFont="1" applyFill="1"/>
    <xf numFmtId="0" fontId="0" fillId="24" borderId="0" xfId="0" applyFill="1"/>
    <xf numFmtId="0" fontId="1" fillId="24" borderId="0" xfId="0" applyFont="1" applyFill="1"/>
    <xf numFmtId="0" fontId="2" fillId="24" borderId="0" xfId="0" applyFont="1" applyFill="1"/>
    <xf numFmtId="0" fontId="2" fillId="27" borderId="0" xfId="0" applyFont="1" applyFill="1"/>
    <xf numFmtId="0" fontId="1" fillId="27" borderId="0" xfId="0" applyFont="1" applyFill="1"/>
    <xf numFmtId="0" fontId="0" fillId="19" borderId="0" xfId="0" applyFill="1"/>
    <xf numFmtId="0" fontId="20" fillId="28" borderId="0" xfId="0" applyFont="1" applyFill="1"/>
    <xf numFmtId="0" fontId="21" fillId="28" borderId="0" xfId="0" applyFont="1" applyFill="1"/>
    <xf numFmtId="0" fontId="21" fillId="0" borderId="0" xfId="0" applyFont="1"/>
    <xf numFmtId="0" fontId="22" fillId="29" borderId="1" xfId="0" applyFont="1" applyFill="1" applyBorder="1"/>
    <xf numFmtId="0" fontId="23" fillId="0" borderId="1" xfId="0" applyFont="1" applyBorder="1"/>
    <xf numFmtId="0" fontId="21" fillId="0" borderId="1" xfId="0" applyFont="1" applyBorder="1"/>
    <xf numFmtId="0" fontId="23" fillId="30" borderId="1" xfId="0" applyFont="1" applyFill="1" applyBorder="1"/>
    <xf numFmtId="0" fontId="23" fillId="0" borderId="0" xfId="0" applyFont="1"/>
    <xf numFmtId="0" fontId="24" fillId="0" borderId="0" xfId="0" applyFont="1"/>
    <xf numFmtId="14" fontId="24" fillId="0" borderId="0" xfId="0" applyNumberFormat="1" applyFont="1"/>
    <xf numFmtId="0" fontId="25" fillId="21" borderId="0" xfId="0" applyFont="1" applyFill="1"/>
    <xf numFmtId="0" fontId="24" fillId="21" borderId="0" xfId="0" applyFont="1" applyFill="1"/>
    <xf numFmtId="0" fontId="26" fillId="31" borderId="4" xfId="0" applyFont="1" applyFill="1" applyBorder="1"/>
    <xf numFmtId="0" fontId="26" fillId="31" borderId="5" xfId="0" applyFont="1" applyFill="1" applyBorder="1"/>
    <xf numFmtId="0" fontId="27" fillId="29" borderId="1" xfId="0" applyFont="1" applyFill="1" applyBorder="1"/>
    <xf numFmtId="0" fontId="26" fillId="31" borderId="3" xfId="0" applyFont="1" applyFill="1" applyBorder="1"/>
    <xf numFmtId="0" fontId="26" fillId="0" borderId="3" xfId="0" applyFont="1" applyBorder="1"/>
    <xf numFmtId="0" fontId="26" fillId="31" borderId="6" xfId="0" applyFont="1" applyFill="1" applyBorder="1"/>
    <xf numFmtId="0" fontId="26" fillId="0" borderId="6" xfId="0" applyFont="1" applyBorder="1"/>
    <xf numFmtId="0" fontId="28" fillId="32" borderId="0" xfId="0" applyFont="1" applyFill="1" applyBorder="1"/>
    <xf numFmtId="0" fontId="28" fillId="32" borderId="7" xfId="0" applyFont="1" applyFill="1" applyBorder="1"/>
    <xf numFmtId="0" fontId="0" fillId="0" borderId="1" xfId="0" applyFont="1" applyBorder="1"/>
    <xf numFmtId="0" fontId="22" fillId="30" borderId="1" xfId="0" applyFont="1" applyFill="1" applyBorder="1"/>
    <xf numFmtId="14" fontId="23" fillId="0" borderId="1" xfId="0" applyNumberFormat="1" applyFont="1" applyBorder="1"/>
    <xf numFmtId="0" fontId="29" fillId="0" borderId="0" xfId="0" applyFont="1"/>
    <xf numFmtId="0" fontId="23" fillId="0" borderId="0" xfId="0" applyFont="1" applyBorder="1"/>
    <xf numFmtId="0" fontId="22" fillId="26" borderId="1" xfId="0" applyFont="1" applyFill="1" applyBorder="1"/>
    <xf numFmtId="0" fontId="23" fillId="33" borderId="1" xfId="0" applyFont="1" applyFill="1" applyBorder="1"/>
    <xf numFmtId="0" fontId="22" fillId="0" borderId="1" xfId="0" applyFont="1" applyBorder="1"/>
    <xf numFmtId="0" fontId="23" fillId="26" borderId="1" xfId="0" applyFont="1" applyFill="1" applyBorder="1"/>
    <xf numFmtId="0" fontId="30" fillId="26" borderId="1" xfId="0" applyFont="1" applyFill="1" applyBorder="1"/>
    <xf numFmtId="0" fontId="31" fillId="33" borderId="1" xfId="0" applyFont="1" applyFill="1" applyBorder="1"/>
    <xf numFmtId="0" fontId="31" fillId="0" borderId="0" xfId="0" applyFont="1"/>
    <xf numFmtId="0" fontId="32" fillId="34" borderId="8" xfId="0" applyFont="1" applyFill="1" applyBorder="1"/>
    <xf numFmtId="0" fontId="33" fillId="0" borderId="8" xfId="0" applyFont="1" applyBorder="1"/>
    <xf numFmtId="0" fontId="33" fillId="0" borderId="0" xfId="0" applyFont="1"/>
    <xf numFmtId="0" fontId="34" fillId="26" borderId="1" xfId="0" applyFont="1" applyFill="1" applyBorder="1"/>
    <xf numFmtId="0" fontId="35" fillId="0" borderId="1" xfId="0" applyFont="1" applyBorder="1"/>
    <xf numFmtId="0" fontId="35" fillId="35" borderId="1" xfId="0" applyFont="1" applyFill="1" applyBorder="1"/>
    <xf numFmtId="0" fontId="35" fillId="0" borderId="1" xfId="0" applyFont="1" applyBorder="1" applyAlignment="1">
      <alignment wrapText="1"/>
    </xf>
    <xf numFmtId="0" fontId="33" fillId="0" borderId="8" xfId="0" applyFont="1" applyBorder="1" applyAlignment="1">
      <alignment wrapText="1"/>
    </xf>
    <xf numFmtId="0" fontId="33" fillId="0" borderId="0" xfId="0" applyFont="1" applyAlignment="1">
      <alignment wrapText="1"/>
    </xf>
    <xf numFmtId="0" fontId="34" fillId="26" borderId="1" xfId="0" applyFont="1" applyFill="1" applyBorder="1" applyAlignment="1">
      <alignment wrapText="1"/>
    </xf>
    <xf numFmtId="0" fontId="36" fillId="26" borderId="7" xfId="0" applyFont="1" applyFill="1" applyBorder="1"/>
    <xf numFmtId="0" fontId="36" fillId="26" borderId="9" xfId="0" applyFont="1" applyFill="1" applyBorder="1"/>
    <xf numFmtId="0" fontId="35" fillId="35" borderId="3" xfId="0" applyFont="1" applyFill="1" applyBorder="1"/>
    <xf numFmtId="0" fontId="36" fillId="26" borderId="0" xfId="0" applyFont="1" applyFill="1" applyAlignment="1">
      <alignment wrapText="1"/>
    </xf>
    <xf numFmtId="0" fontId="35" fillId="35" borderId="6" xfId="0" applyFont="1" applyFill="1" applyBorder="1" applyAlignment="1">
      <alignment wrapText="1"/>
    </xf>
    <xf numFmtId="0" fontId="36" fillId="26" borderId="3" xfId="0" applyFont="1" applyFill="1" applyBorder="1"/>
    <xf numFmtId="0" fontId="35" fillId="35" borderId="9" xfId="0" applyFont="1" applyFill="1" applyBorder="1"/>
    <xf numFmtId="0" fontId="35" fillId="35" borderId="2" xfId="0" applyFont="1" applyFill="1" applyBorder="1"/>
    <xf numFmtId="0" fontId="36" fillId="26" borderId="3" xfId="0" applyFont="1" applyFill="1" applyBorder="1" applyAlignment="1">
      <alignment wrapText="1"/>
    </xf>
    <xf numFmtId="0" fontId="35" fillId="35" borderId="3" xfId="0" applyFont="1" applyFill="1" applyBorder="1" applyAlignment="1">
      <alignment wrapText="1"/>
    </xf>
    <xf numFmtId="0" fontId="35" fillId="35" borderId="2" xfId="0" applyFont="1" applyFill="1" applyBorder="1" applyAlignment="1">
      <alignment wrapText="1"/>
    </xf>
    <xf numFmtId="0" fontId="35" fillId="0" borderId="0" xfId="0" applyFont="1"/>
    <xf numFmtId="0" fontId="34" fillId="36" borderId="1" xfId="0" applyFont="1" applyFill="1" applyBorder="1"/>
    <xf numFmtId="0" fontId="35" fillId="37" borderId="1" xfId="0" applyFont="1" applyFill="1" applyBorder="1"/>
    <xf numFmtId="0" fontId="34" fillId="28" borderId="1" xfId="0" applyFont="1" applyFill="1" applyBorder="1"/>
    <xf numFmtId="0" fontId="36" fillId="26" borderId="1" xfId="0" applyFont="1" applyFill="1" applyBorder="1"/>
    <xf numFmtId="0" fontId="21" fillId="35" borderId="0" xfId="0" applyFont="1" applyFill="1"/>
    <xf numFmtId="0" fontId="21" fillId="35" borderId="10" xfId="0" applyFont="1" applyFill="1" applyBorder="1"/>
    <xf numFmtId="0" fontId="22" fillId="38" borderId="1" xfId="0" applyFont="1" applyFill="1" applyBorder="1"/>
    <xf numFmtId="0" fontId="21" fillId="0" borderId="0" xfId="0" applyFont="1" applyAlignment="1">
      <alignment wrapText="1"/>
    </xf>
    <xf numFmtId="0" fontId="22" fillId="38" borderId="1" xfId="0" applyFont="1" applyFill="1" applyBorder="1" applyAlignment="1">
      <alignment wrapText="1"/>
    </xf>
    <xf numFmtId="0" fontId="23" fillId="0" borderId="1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37" fillId="26" borderId="10" xfId="0" applyFont="1" applyFill="1" applyBorder="1" applyAlignment="1">
      <alignment wrapText="1"/>
    </xf>
    <xf numFmtId="0" fontId="38" fillId="26" borderId="10" xfId="0" applyFont="1" applyFill="1" applyBorder="1"/>
    <xf numFmtId="0" fontId="39" fillId="0" borderId="0" xfId="0" applyFont="1" applyAlignment="1">
      <alignment wrapText="1"/>
    </xf>
    <xf numFmtId="0" fontId="40" fillId="35" borderId="10" xfId="0" applyFont="1" applyFill="1" applyBorder="1" applyAlignment="1">
      <alignment wrapText="1"/>
    </xf>
    <xf numFmtId="0" fontId="41" fillId="35" borderId="10" xfId="0" applyFont="1" applyFill="1" applyBorder="1"/>
    <xf numFmtId="0" fontId="42" fillId="35" borderId="10" xfId="0" applyFont="1" applyFill="1" applyBorder="1" applyAlignment="1">
      <alignment wrapText="1"/>
    </xf>
    <xf numFmtId="0" fontId="43" fillId="35" borderId="10" xfId="0" applyFont="1" applyFill="1" applyBorder="1"/>
    <xf numFmtId="0" fontId="21" fillId="35" borderId="0" xfId="0" applyFont="1" applyFill="1" applyAlignment="1">
      <alignment wrapText="1"/>
    </xf>
    <xf numFmtId="0" fontId="22" fillId="35" borderId="10" xfId="0" applyFont="1" applyFill="1" applyBorder="1" applyAlignment="1">
      <alignment wrapText="1"/>
    </xf>
    <xf numFmtId="0" fontId="44" fillId="35" borderId="0" xfId="0" applyFont="1" applyFill="1"/>
    <xf numFmtId="0" fontId="30" fillId="35" borderId="10" xfId="0" applyFont="1" applyFill="1" applyBorder="1" applyAlignment="1">
      <alignment wrapText="1"/>
    </xf>
    <xf numFmtId="0" fontId="44" fillId="35" borderId="10" xfId="0" applyFont="1" applyFill="1" applyBorder="1"/>
    <xf numFmtId="0" fontId="44" fillId="35" borderId="10" xfId="0" applyFont="1" applyFill="1" applyBorder="1" applyAlignment="1">
      <alignment wrapText="1"/>
    </xf>
    <xf numFmtId="0" fontId="44" fillId="35" borderId="0" xfId="0" applyFont="1" applyFill="1" applyAlignment="1">
      <alignment wrapText="1"/>
    </xf>
    <xf numFmtId="0" fontId="44" fillId="0" borderId="0" xfId="0" applyFont="1"/>
    <xf numFmtId="0" fontId="30" fillId="38" borderId="1" xfId="0" applyFont="1" applyFill="1" applyBorder="1" applyAlignment="1">
      <alignment wrapText="1"/>
    </xf>
    <xf numFmtId="0" fontId="30" fillId="38" borderId="1" xfId="0" applyFont="1" applyFill="1" applyBorder="1"/>
    <xf numFmtId="0" fontId="30" fillId="38" borderId="7" xfId="0" applyFont="1" applyFill="1" applyBorder="1"/>
    <xf numFmtId="0" fontId="44" fillId="0" borderId="0" xfId="0" applyFont="1" applyAlignment="1">
      <alignment wrapText="1"/>
    </xf>
    <xf numFmtId="0" fontId="31" fillId="0" borderId="1" xfId="0" applyFont="1" applyBorder="1" applyAlignment="1">
      <alignment wrapText="1"/>
    </xf>
    <xf numFmtId="0" fontId="31" fillId="0" borderId="1" xfId="0" applyFont="1" applyBorder="1"/>
    <xf numFmtId="0" fontId="44" fillId="0" borderId="1" xfId="0" applyFont="1" applyBorder="1"/>
    <xf numFmtId="14" fontId="31" fillId="0" borderId="1" xfId="0" applyNumberFormat="1" applyFont="1" applyBorder="1"/>
    <xf numFmtId="0" fontId="30" fillId="38" borderId="0" xfId="0" applyFont="1" applyFill="1" applyAlignment="1">
      <alignment wrapText="1"/>
    </xf>
    <xf numFmtId="0" fontId="31" fillId="0" borderId="0" xfId="0" applyFont="1" applyAlignment="1">
      <alignment wrapText="1"/>
    </xf>
    <xf numFmtId="0" fontId="31" fillId="0" borderId="0" xfId="0" quotePrefix="1" applyFont="1" applyAlignment="1">
      <alignment wrapText="1"/>
    </xf>
    <xf numFmtId="0" fontId="30" fillId="0" borderId="7" xfId="0" applyFont="1" applyBorder="1" applyAlignment="1">
      <alignment wrapText="1"/>
    </xf>
    <xf numFmtId="0" fontId="30" fillId="0" borderId="0" xfId="0" applyFont="1" applyAlignment="1">
      <alignment wrapText="1"/>
    </xf>
    <xf numFmtId="0" fontId="45" fillId="0" borderId="11" xfId="0" applyFont="1" applyBorder="1"/>
    <xf numFmtId="0" fontId="45" fillId="0" borderId="0" xfId="0" applyFont="1"/>
    <xf numFmtId="0" fontId="46" fillId="26" borderId="12" xfId="0" applyFont="1" applyFill="1" applyBorder="1"/>
    <xf numFmtId="0" fontId="46" fillId="26" borderId="13" xfId="0" applyFont="1" applyFill="1" applyBorder="1"/>
    <xf numFmtId="0" fontId="47" fillId="0" borderId="14" xfId="0" applyFont="1" applyBorder="1"/>
    <xf numFmtId="0" fontId="47" fillId="0" borderId="1" xfId="0" applyFont="1" applyBorder="1"/>
    <xf numFmtId="0" fontId="47" fillId="0" borderId="0" xfId="0" applyFont="1"/>
    <xf numFmtId="0" fontId="47" fillId="0" borderId="15" xfId="0" applyFont="1" applyBorder="1"/>
    <xf numFmtId="0" fontId="47" fillId="0" borderId="9" xfId="0" applyFont="1" applyBorder="1"/>
    <xf numFmtId="0" fontId="46" fillId="26" borderId="1" xfId="0" applyFont="1" applyFill="1" applyBorder="1"/>
    <xf numFmtId="0" fontId="45" fillId="0" borderId="1" xfId="0" applyFont="1" applyBorder="1"/>
    <xf numFmtId="0" fontId="48" fillId="26" borderId="1" xfId="0" applyFont="1" applyFill="1" applyBorder="1"/>
    <xf numFmtId="0" fontId="47" fillId="37" borderId="0" xfId="0" applyFont="1" applyFill="1"/>
    <xf numFmtId="0" fontId="46" fillId="37" borderId="1" xfId="0" applyFont="1" applyFill="1" applyBorder="1"/>
    <xf numFmtId="0" fontId="46" fillId="26" borderId="0" xfId="0" applyFont="1" applyFill="1"/>
    <xf numFmtId="0" fontId="45" fillId="26" borderId="1" xfId="0" applyFont="1" applyFill="1" applyBorder="1"/>
    <xf numFmtId="10" fontId="47" fillId="0" borderId="1" xfId="0" applyNumberFormat="1" applyFont="1" applyBorder="1"/>
    <xf numFmtId="0" fontId="45" fillId="0" borderId="0" xfId="0" applyFont="1" applyAlignment="1">
      <alignment wrapText="1"/>
    </xf>
    <xf numFmtId="0" fontId="46" fillId="26" borderId="13" xfId="0" applyFont="1" applyFill="1" applyBorder="1" applyAlignment="1">
      <alignment wrapText="1"/>
    </xf>
    <xf numFmtId="0" fontId="47" fillId="0" borderId="1" xfId="0" applyFont="1" applyBorder="1" applyAlignment="1">
      <alignment wrapText="1"/>
    </xf>
    <xf numFmtId="0" fontId="47" fillId="0" borderId="9" xfId="0" applyFont="1" applyBorder="1" applyAlignment="1">
      <alignment wrapText="1"/>
    </xf>
    <xf numFmtId="0" fontId="46" fillId="26" borderId="1" xfId="0" applyFont="1" applyFill="1" applyBorder="1" applyAlignment="1">
      <alignment wrapText="1"/>
    </xf>
    <xf numFmtId="0" fontId="45" fillId="37" borderId="0" xfId="0" applyFont="1" applyFill="1" applyAlignment="1">
      <alignment wrapText="1"/>
    </xf>
    <xf numFmtId="0" fontId="46" fillId="26" borderId="0" xfId="0" applyFont="1" applyFill="1" applyAlignment="1">
      <alignment wrapText="1"/>
    </xf>
    <xf numFmtId="0" fontId="45" fillId="26" borderId="1" xfId="0" applyFont="1" applyFill="1" applyBorder="1" applyAlignment="1">
      <alignment wrapText="1"/>
    </xf>
    <xf numFmtId="0" fontId="45" fillId="0" borderId="1" xfId="0" applyFont="1" applyBorder="1" applyAlignment="1">
      <alignment wrapText="1"/>
    </xf>
    <xf numFmtId="0" fontId="47" fillId="0" borderId="0" xfId="0" quotePrefix="1" applyFont="1" applyAlignment="1">
      <alignment wrapText="1"/>
    </xf>
    <xf numFmtId="0" fontId="47" fillId="0" borderId="1" xfId="0" applyNumberFormat="1" applyFont="1" applyBorder="1"/>
    <xf numFmtId="14" fontId="45" fillId="0" borderId="0" xfId="0" applyNumberFormat="1" applyFont="1"/>
    <xf numFmtId="0" fontId="50" fillId="26" borderId="0" xfId="0" applyFont="1" applyFill="1"/>
    <xf numFmtId="0" fontId="47" fillId="26" borderId="0" xfId="0" applyFont="1" applyFill="1"/>
    <xf numFmtId="0" fontId="51" fillId="39" borderId="17" xfId="0" applyFont="1" applyFill="1" applyBorder="1"/>
    <xf numFmtId="0" fontId="7" fillId="0" borderId="0" xfId="0" applyFont="1"/>
    <xf numFmtId="0" fontId="52" fillId="0" borderId="18" xfId="0" applyFont="1" applyBorder="1"/>
    <xf numFmtId="21" fontId="52" fillId="0" borderId="18" xfId="0" applyNumberFormat="1" applyFont="1" applyBorder="1"/>
    <xf numFmtId="10" fontId="52" fillId="0" borderId="18" xfId="0" applyNumberFormat="1" applyFont="1" applyBorder="1"/>
    <xf numFmtId="0" fontId="6" fillId="0" borderId="18" xfId="0" applyFont="1" applyBorder="1"/>
    <xf numFmtId="0" fontId="8" fillId="40" borderId="1" xfId="0" applyFont="1" applyFill="1" applyBorder="1"/>
    <xf numFmtId="0" fontId="53" fillId="40" borderId="17" xfId="0" applyFont="1" applyFill="1" applyBorder="1"/>
    <xf numFmtId="21" fontId="7" fillId="0" borderId="0" xfId="0" applyNumberFormat="1" applyFont="1"/>
    <xf numFmtId="9" fontId="7" fillId="0" borderId="0" xfId="0" applyNumberFormat="1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8" fillId="40" borderId="1" xfId="0" applyFont="1" applyFill="1" applyBorder="1" applyAlignment="1">
      <alignment horizontal="center"/>
    </xf>
    <xf numFmtId="165" fontId="52" fillId="0" borderId="18" xfId="0" applyNumberFormat="1" applyFont="1" applyBorder="1"/>
    <xf numFmtId="0" fontId="7" fillId="0" borderId="0" xfId="0" applyNumberFormat="1" applyFont="1"/>
    <xf numFmtId="165" fontId="0" fillId="0" borderId="0" xfId="0" applyNumberFormat="1"/>
    <xf numFmtId="0" fontId="0" fillId="41" borderId="0" xfId="0" applyFont="1" applyFill="1" applyAlignment="1">
      <alignment vertical="center"/>
    </xf>
    <xf numFmtId="0" fontId="0" fillId="41" borderId="0" xfId="0" applyFont="1" applyFill="1" applyAlignment="1">
      <alignment vertical="center" wrapText="1"/>
    </xf>
    <xf numFmtId="0" fontId="47" fillId="0" borderId="0" xfId="0" applyFont="1" applyAlignment="1">
      <alignment wrapText="1"/>
    </xf>
    <xf numFmtId="0" fontId="49" fillId="35" borderId="2" xfId="0" applyFont="1" applyFill="1" applyBorder="1" applyAlignment="1"/>
    <xf numFmtId="0" fontId="49" fillId="35" borderId="14" xfId="0" applyFont="1" applyFill="1" applyBorder="1" applyAlignment="1"/>
    <xf numFmtId="0" fontId="49" fillId="0" borderId="11" xfId="0" applyFont="1" applyBorder="1" applyAlignment="1"/>
    <xf numFmtId="0" fontId="47" fillId="0" borderId="0" xfId="0" applyFont="1" applyAlignment="1">
      <alignment wrapText="1"/>
    </xf>
    <xf numFmtId="0" fontId="46" fillId="0" borderId="11" xfId="0" applyFont="1" applyBorder="1" applyAlignment="1"/>
    <xf numFmtId="0" fontId="46" fillId="26" borderId="2" xfId="0" applyFont="1" applyFill="1" applyBorder="1" applyAlignment="1"/>
    <xf numFmtId="0" fontId="46" fillId="26" borderId="14" xfId="0" applyFont="1" applyFill="1" applyBorder="1" applyAlignment="1"/>
    <xf numFmtId="0" fontId="45" fillId="26" borderId="2" xfId="0" applyFont="1" applyFill="1" applyBorder="1" applyAlignment="1"/>
    <xf numFmtId="0" fontId="45" fillId="26" borderId="14" xfId="0" applyFont="1" applyFill="1" applyBorder="1" applyAlignment="1"/>
    <xf numFmtId="0" fontId="47" fillId="0" borderId="2" xfId="0" applyFont="1" applyBorder="1" applyAlignment="1"/>
    <xf numFmtId="0" fontId="47" fillId="0" borderId="14" xfId="0" applyFont="1" applyBorder="1" applyAlignment="1"/>
    <xf numFmtId="0" fontId="45" fillId="0" borderId="2" xfId="0" applyFont="1" applyBorder="1" applyAlignment="1"/>
    <xf numFmtId="0" fontId="45" fillId="0" borderId="14" xfId="0" applyFont="1" applyBorder="1" applyAlignment="1"/>
    <xf numFmtId="0" fontId="46" fillId="26" borderId="16" xfId="0" applyFont="1" applyFill="1" applyBorder="1" applyAlignment="1"/>
    <xf numFmtId="0" fontId="47" fillId="0" borderId="16" xfId="0" applyFont="1" applyBorder="1" applyAlignment="1"/>
    <xf numFmtId="0" fontId="45" fillId="0" borderId="2" xfId="0" applyFont="1" applyBorder="1" applyAlignment="1">
      <alignment wrapText="1"/>
    </xf>
    <xf numFmtId="0" fontId="45" fillId="0" borderId="16" xfId="0" applyFont="1" applyBorder="1" applyAlignment="1">
      <alignment wrapText="1"/>
    </xf>
    <xf numFmtId="0" fontId="45" fillId="0" borderId="14" xfId="0" applyFont="1" applyBorder="1" applyAlignment="1">
      <alignment wrapText="1"/>
    </xf>
    <xf numFmtId="0" fontId="46" fillId="26" borderId="2" xfId="0" applyFont="1" applyFill="1" applyBorder="1" applyAlignment="1">
      <alignment wrapText="1"/>
    </xf>
    <xf numFmtId="0" fontId="46" fillId="26" borderId="16" xfId="0" applyFont="1" applyFill="1" applyBorder="1" applyAlignment="1">
      <alignment wrapText="1"/>
    </xf>
    <xf numFmtId="0" fontId="46" fillId="26" borderId="14" xfId="0" applyFont="1" applyFill="1" applyBorder="1" applyAlignment="1">
      <alignment wrapText="1"/>
    </xf>
    <xf numFmtId="0" fontId="47" fillId="0" borderId="2" xfId="0" applyFont="1" applyBorder="1" applyAlignment="1">
      <alignment wrapText="1"/>
    </xf>
    <xf numFmtId="0" fontId="47" fillId="0" borderId="16" xfId="0" applyFont="1" applyBorder="1" applyAlignment="1">
      <alignment wrapText="1"/>
    </xf>
    <xf numFmtId="0" fontId="47" fillId="0" borderId="14" xfId="0" applyFont="1" applyBorder="1" applyAlignment="1">
      <alignment wrapText="1"/>
    </xf>
    <xf numFmtId="0" fontId="46" fillId="0" borderId="0" xfId="0" applyFont="1" applyAlignment="1"/>
    <xf numFmtId="15" fontId="47" fillId="0" borderId="2" xfId="0" applyNumberFormat="1" applyFont="1" applyBorder="1" applyAlignment="1"/>
    <xf numFmtId="164" fontId="47" fillId="0" borderId="2" xfId="0" applyNumberFormat="1" applyFont="1" applyBorder="1" applyAlignment="1"/>
    <xf numFmtId="164" fontId="47" fillId="0" borderId="16" xfId="0" applyNumberFormat="1" applyFont="1" applyBorder="1" applyAlignment="1"/>
    <xf numFmtId="164" fontId="47" fillId="0" borderId="14" xfId="0" applyNumberFormat="1" applyFont="1" applyBorder="1" applyAlignment="1"/>
    <xf numFmtId="22" fontId="47" fillId="0" borderId="2" xfId="0" applyNumberFormat="1" applyFont="1" applyBorder="1" applyAlignment="1"/>
    <xf numFmtId="164" fontId="45" fillId="0" borderId="2" xfId="0" applyNumberFormat="1" applyFont="1" applyBorder="1" applyAlignment="1"/>
    <xf numFmtId="164" fontId="45" fillId="0" borderId="14" xfId="0" applyNumberFormat="1" applyFont="1" applyBorder="1" applyAlignment="1"/>
    <xf numFmtId="0" fontId="45" fillId="0" borderId="0" xfId="0" applyFont="1" applyAlignment="1"/>
    <xf numFmtId="0" fontId="45" fillId="0" borderId="6" xfId="0" applyFont="1" applyBorder="1" applyAlignment="1"/>
    <xf numFmtId="0" fontId="54" fillId="42" borderId="0" xfId="0" applyFont="1" applyFill="1" applyAlignment="1">
      <alignment horizontal="center" vertical="center"/>
    </xf>
    <xf numFmtId="0" fontId="0" fillId="13" borderId="0" xfId="0" applyFill="1" applyAlignment="1">
      <alignment horizontal="center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ptos Narrow"/>
        <family val="2"/>
        <charset val="1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.5"/>
        <color theme="1"/>
        <name val="Calibri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.5"/>
        <color theme="1"/>
        <name val="Calibri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.5"/>
        <color theme="1"/>
        <name val="Calibri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.5"/>
        <color rgb="FF000000"/>
        <name val="Aptos Narrow"/>
        <charset val="1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.5"/>
        <color rgb="FF000000"/>
        <name val="Aptos Narrow"/>
        <charset val="1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.5"/>
        <color rgb="FF000000"/>
        <name val="Aptos Narrow"/>
        <charset val="1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.5"/>
        <color rgb="FF000000"/>
        <name val="Aptos Narrow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.5"/>
        <color rgb="FF000000"/>
        <name val="Aptos Narrow"/>
        <charset val="1"/>
        <scheme val="none"/>
      </font>
      <fill>
        <patternFill patternType="solid">
          <fgColor indexed="64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rgb="FF0E2841"/>
        <name val="Aptos Narrow"/>
        <charset val="1"/>
        <scheme val="none"/>
      </font>
      <fill>
        <patternFill patternType="solid">
          <fgColor indexed="64"/>
          <bgColor rgb="FFFFFF00"/>
        </patternFill>
      </fill>
    </dxf>
    <dxf>
      <alignment wrapText="1"/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ont>
        <color theme="1"/>
      </font>
    </dxf>
    <dxf>
      <font>
        <color theme="1"/>
      </font>
    </dxf>
    <dxf>
      <alignment vertical="center"/>
    </dxf>
    <dxf>
      <alignment vertical="center"/>
    </dxf>
  </dxfs>
  <tableStyles count="0" defaultTableStyle="TableStyleMedium2" defaultPivotStyle="PivotStyleMedium9"/>
  <colors>
    <mruColors>
      <color rgb="FFC1E5F5"/>
      <color rgb="FFF595EB"/>
      <color rgb="FFF21D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EMPLOYEE WORKING HOURS</a:t>
            </a:r>
          </a:p>
        </c:rich>
      </c:tx>
      <c:layout>
        <c:manualLayout>
          <c:xMode val="edge"/>
          <c:yMode val="edge"/>
          <c:x val="0.27996384855757572"/>
          <c:y val="3.7617566891305208E-2"/>
        </c:manualLayout>
      </c:layout>
      <c:overlay val="0"/>
      <c:spPr>
        <a:solidFill>
          <a:srgbClr val="FFFF00"/>
        </a:solidFill>
        <a:ln>
          <a:solidFill>
            <a:srgbClr val="78217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dLbl>
          <c:idx val="0"/>
          <c:layout>
            <c:manualLayout>
              <c:x val="1.8933614095041897E-4"/>
              <c:y val="-0.3033459981282551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dLbl>
          <c:idx val="0"/>
          <c:layout>
            <c:manualLayout>
              <c:x val="-5.6826273600250237E-4"/>
              <c:y val="-0.381628778245714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dLbl>
          <c:idx val="0"/>
          <c:layout>
            <c:manualLayout>
              <c:x val="1.1363347371418761E-3"/>
              <c:y val="-0.201704555087619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dLbl>
          <c:idx val="0"/>
          <c:layout>
            <c:manualLayout>
              <c:x val="-1.3260590694290655E-3"/>
              <c:y val="-0.198232332865397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  <c:dLbl>
          <c:idx val="0"/>
          <c:layout>
            <c:manualLayout>
              <c:x val="2.6514124966251777E-3"/>
              <c:y val="-0.195075823855351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4F-4960-8286-3915B3DBD35F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64F-4960-8286-3915B3DBD35F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4F-4960-8286-3915B3DBD35F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4F-4960-8286-3915B3DBD35F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64F-4960-8286-3915B3DBD35F}"/>
              </c:ext>
            </c:extLst>
          </c:dPt>
          <c:dLbls>
            <c:dLbl>
              <c:idx val="0"/>
              <c:layout>
                <c:manualLayout>
                  <c:x val="-5.6826273600250237E-4"/>
                  <c:y val="-0.381628778245714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64F-4960-8286-3915B3DBD35F}"/>
                </c:ext>
              </c:extLst>
            </c:dLbl>
            <c:dLbl>
              <c:idx val="1"/>
              <c:layout>
                <c:manualLayout>
                  <c:x val="2.6514124966251777E-3"/>
                  <c:y val="-0.195075823855351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4F-4960-8286-3915B3DBD35F}"/>
                </c:ext>
              </c:extLst>
            </c:dLbl>
            <c:dLbl>
              <c:idx val="2"/>
              <c:layout>
                <c:manualLayout>
                  <c:x val="1.1363347371418761E-3"/>
                  <c:y val="-0.201704555087619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4F-4960-8286-3915B3DBD35F}"/>
                </c:ext>
              </c:extLst>
            </c:dLbl>
            <c:dLbl>
              <c:idx val="3"/>
              <c:layout>
                <c:manualLayout>
                  <c:x val="1.8933614095041897E-4"/>
                  <c:y val="-0.303345998128255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4F-4960-8286-3915B3DBD35F}"/>
                </c:ext>
              </c:extLst>
            </c:dLbl>
            <c:dLbl>
              <c:idx val="4"/>
              <c:layout>
                <c:manualLayout>
                  <c:x val="-1.3260590694290655E-3"/>
                  <c:y val="-0.198232332865397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4F-4960-8286-3915B3DBD3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DASHBOARD!$A$5:$A$9</c:f>
              <c:strCache>
                <c:ptCount val="5"/>
                <c:pt idx="0">
                  <c:v>Ashok Kumar</c:v>
                </c:pt>
                <c:pt idx="1">
                  <c:v>Manoj Kumar</c:v>
                </c:pt>
                <c:pt idx="2">
                  <c:v>Rajesh Kumar</c:v>
                </c:pt>
                <c:pt idx="3">
                  <c:v>Santosh Kumar</c:v>
                </c:pt>
                <c:pt idx="4">
                  <c:v>Sunil Kumar</c:v>
                </c:pt>
              </c:strCache>
            </c:strRef>
          </c:cat>
          <c:val>
            <c:numRef>
              <c:f>DASHBOARD!$B$5:$B$9</c:f>
              <c:numCache>
                <c:formatCode>[$-F400]h:mm:ss\ AM/PM</c:formatCode>
                <c:ptCount val="5"/>
                <c:pt idx="0">
                  <c:v>1.3668402777777779</c:v>
                </c:pt>
                <c:pt idx="1">
                  <c:v>0.66396990740740747</c:v>
                </c:pt>
                <c:pt idx="2">
                  <c:v>0.67937500000000006</c:v>
                </c:pt>
                <c:pt idx="3">
                  <c:v>1.0142939814814815</c:v>
                </c:pt>
                <c:pt idx="4">
                  <c:v>0.67259259259259263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F-4960-8286-3915B3DBD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948424"/>
        <c:axId val="22713864"/>
      </c:barChart>
      <c:catAx>
        <c:axId val="109948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13864"/>
        <c:crosses val="autoZero"/>
        <c:auto val="1"/>
        <c:lblAlgn val="ctr"/>
        <c:lblOffset val="100"/>
        <c:noMultiLvlLbl val="0"/>
      </c:catAx>
      <c:valAx>
        <c:axId val="22713864"/>
        <c:scaling>
          <c:orientation val="minMax"/>
        </c:scaling>
        <c:delete val="1"/>
        <c:axPos val="l"/>
        <c:numFmt formatCode="[$-F400]h:mm:ss\ AM/PM" sourceLinked="1"/>
        <c:majorTickMark val="none"/>
        <c:minorTickMark val="none"/>
        <c:tickLblPos val="nextTo"/>
        <c:crossAx val="109948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4</xdr:row>
      <xdr:rowOff>619125</xdr:rowOff>
    </xdr:from>
    <xdr:to>
      <xdr:col>6</xdr:col>
      <xdr:colOff>695325</xdr:colOff>
      <xdr:row>4</xdr:row>
      <xdr:rowOff>1123950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F0A5D638-743F-D432-D0C5-33FAE09227FE}"/>
            </a:ext>
          </a:extLst>
        </xdr:cNvPr>
        <xdr:cNvSpPr/>
      </xdr:nvSpPr>
      <xdr:spPr>
        <a:xfrm>
          <a:off x="5476875" y="1000125"/>
          <a:ext cx="676275" cy="504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676275</xdr:colOff>
      <xdr:row>15</xdr:row>
      <xdr:rowOff>123825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73C020E0-D453-4BB9-B3B4-6331E305D419}"/>
            </a:ext>
            <a:ext uri="{147F2762-F138-4A5C-976F-8EAC2B608ADB}">
              <a16:predDERef xmlns:a16="http://schemas.microsoft.com/office/drawing/2014/main" pred="{F0A5D638-743F-D432-D0C5-33FAE09227FE}"/>
            </a:ext>
          </a:extLst>
        </xdr:cNvPr>
        <xdr:cNvSpPr/>
      </xdr:nvSpPr>
      <xdr:spPr>
        <a:xfrm>
          <a:off x="5457825" y="3429000"/>
          <a:ext cx="676275" cy="50482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419100</xdr:colOff>
      <xdr:row>26</xdr:row>
      <xdr:rowOff>0</xdr:rowOff>
    </xdr:from>
    <xdr:to>
      <xdr:col>6</xdr:col>
      <xdr:colOff>609600</xdr:colOff>
      <xdr:row>28</xdr:row>
      <xdr:rowOff>123825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BD732215-DF46-44EF-8E12-3814BCE793A0}"/>
            </a:ext>
            <a:ext uri="{147F2762-F138-4A5C-976F-8EAC2B608ADB}">
              <a16:predDERef xmlns:a16="http://schemas.microsoft.com/office/drawing/2014/main" pred="{73C020E0-D453-4BB9-B3B4-6331E305D419}"/>
            </a:ext>
          </a:extLst>
        </xdr:cNvPr>
        <xdr:cNvSpPr/>
      </xdr:nvSpPr>
      <xdr:spPr>
        <a:xfrm>
          <a:off x="5010150" y="5524500"/>
          <a:ext cx="1057275" cy="504825"/>
        </a:xfrm>
        <a:prstGeom prst="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352425</xdr:colOff>
      <xdr:row>32</xdr:row>
      <xdr:rowOff>66675</xdr:rowOff>
    </xdr:from>
    <xdr:to>
      <xdr:col>6</xdr:col>
      <xdr:colOff>542925</xdr:colOff>
      <xdr:row>35</xdr:row>
      <xdr:rowOff>0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87C4821F-E6E3-4F29-B925-ECBAE961E6AF}"/>
            </a:ext>
            <a:ext uri="{147F2762-F138-4A5C-976F-8EAC2B608ADB}">
              <a16:predDERef xmlns:a16="http://schemas.microsoft.com/office/drawing/2014/main" pred="{BD732215-DF46-44EF-8E12-3814BCE793A0}"/>
            </a:ext>
          </a:extLst>
        </xdr:cNvPr>
        <xdr:cNvSpPr/>
      </xdr:nvSpPr>
      <xdr:spPr>
        <a:xfrm>
          <a:off x="6086475" y="8724900"/>
          <a:ext cx="1057275" cy="504825"/>
        </a:xfrm>
        <a:prstGeom prst="righ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19050</xdr:colOff>
      <xdr:row>37</xdr:row>
      <xdr:rowOff>228600</xdr:rowOff>
    </xdr:from>
    <xdr:to>
      <xdr:col>6</xdr:col>
      <xdr:colOff>390525</xdr:colOff>
      <xdr:row>38</xdr:row>
      <xdr:rowOff>171450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265E8AEA-6A4C-4F34-BC19-D4547AD17654}"/>
            </a:ext>
            <a:ext uri="{147F2762-F138-4A5C-976F-8EAC2B608ADB}">
              <a16:predDERef xmlns:a16="http://schemas.microsoft.com/office/drawing/2014/main" pred="{87C4821F-E6E3-4F29-B925-ECBAE961E6AF}"/>
            </a:ext>
          </a:extLst>
        </xdr:cNvPr>
        <xdr:cNvSpPr/>
      </xdr:nvSpPr>
      <xdr:spPr>
        <a:xfrm rot="1978164">
          <a:off x="5753100" y="11277600"/>
          <a:ext cx="1238250" cy="628650"/>
        </a:xfrm>
        <a:prstGeom prst="righ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114300</xdr:colOff>
      <xdr:row>52</xdr:row>
      <xdr:rowOff>247650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609B5E4-AC08-46B3-9EDF-758709D9CA23}"/>
            </a:ext>
            <a:ext uri="{147F2762-F138-4A5C-976F-8EAC2B608ADB}">
              <a16:predDERef xmlns:a16="http://schemas.microsoft.com/office/drawing/2014/main" pred="{265E8AEA-6A4C-4F34-BC19-D4547AD17654}"/>
            </a:ext>
          </a:extLst>
        </xdr:cNvPr>
        <xdr:cNvSpPr/>
      </xdr:nvSpPr>
      <xdr:spPr>
        <a:xfrm rot="1978164">
          <a:off x="4733925" y="14897100"/>
          <a:ext cx="1238250" cy="628650"/>
        </a:xfrm>
        <a:prstGeom prst="righ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457200</xdr:colOff>
      <xdr:row>54</xdr:row>
      <xdr:rowOff>38100</xdr:rowOff>
    </xdr:from>
    <xdr:to>
      <xdr:col>5</xdr:col>
      <xdr:colOff>142875</xdr:colOff>
      <xdr:row>58</xdr:row>
      <xdr:rowOff>9525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544E39E1-F4E7-4546-BF8D-247AC7543C59}"/>
            </a:ext>
            <a:ext uri="{147F2762-F138-4A5C-976F-8EAC2B608ADB}">
              <a16:predDERef xmlns:a16="http://schemas.microsoft.com/office/drawing/2014/main" pred="{0609B5E4-AC08-46B3-9EDF-758709D9CA23}"/>
            </a:ext>
          </a:extLst>
        </xdr:cNvPr>
        <xdr:cNvSpPr/>
      </xdr:nvSpPr>
      <xdr:spPr>
        <a:xfrm rot="20600994">
          <a:off x="4695825" y="15840075"/>
          <a:ext cx="1304925" cy="733425"/>
        </a:xfrm>
        <a:prstGeom prst="righ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60</xdr:row>
      <xdr:rowOff>9525</xdr:rowOff>
    </xdr:from>
    <xdr:to>
      <xdr:col>4</xdr:col>
      <xdr:colOff>657225</xdr:colOff>
      <xdr:row>61</xdr:row>
      <xdr:rowOff>85725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EA00984-6468-B17D-B5B0-97791D5EAC1D}"/>
            </a:ext>
          </a:extLst>
        </xdr:cNvPr>
        <xdr:cNvSpPr/>
      </xdr:nvSpPr>
      <xdr:spPr>
        <a:xfrm>
          <a:off x="628650" y="13706475"/>
          <a:ext cx="4838700" cy="733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Dynamic Vlookup - Auto Updated Vlookup Formula With DROPDOWN List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35</xdr:row>
      <xdr:rowOff>47625</xdr:rowOff>
    </xdr:from>
    <xdr:to>
      <xdr:col>6</xdr:col>
      <xdr:colOff>704850</xdr:colOff>
      <xdr:row>37</xdr:row>
      <xdr:rowOff>28575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B6D48D40-CD81-AAB9-8731-866A3C53376A}"/>
            </a:ext>
          </a:extLst>
        </xdr:cNvPr>
        <xdr:cNvSpPr/>
      </xdr:nvSpPr>
      <xdr:spPr>
        <a:xfrm>
          <a:off x="504825" y="7934325"/>
          <a:ext cx="5695950" cy="438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filter k sath sum yr wo kam nai krta hai means..hide krdi rows still same values rhengi so we use subtotal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76200</xdr:rowOff>
    </xdr:from>
    <xdr:to>
      <xdr:col>1</xdr:col>
      <xdr:colOff>657225</xdr:colOff>
      <xdr:row>1</xdr:row>
      <xdr:rowOff>323850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F3A523E-9E1D-02D3-9077-9F32A55206EB}"/>
            </a:ext>
            <a:ext uri="{147F2762-F138-4A5C-976F-8EAC2B608ADB}">
              <a16:predDERef xmlns:a16="http://schemas.microsoft.com/office/drawing/2014/main" pred="{DC588136-D3F3-7465-E7C5-7D3BE9448D84}"/>
            </a:ext>
          </a:extLst>
        </xdr:cNvPr>
        <xdr:cNvSpPr/>
      </xdr:nvSpPr>
      <xdr:spPr>
        <a:xfrm>
          <a:off x="1066800" y="76200"/>
          <a:ext cx="619125" cy="4381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0</xdr:colOff>
      <xdr:row>9</xdr:row>
      <xdr:rowOff>38100</xdr:rowOff>
    </xdr:from>
    <xdr:to>
      <xdr:col>4</xdr:col>
      <xdr:colOff>190500</xdr:colOff>
      <xdr:row>19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A71CC-347E-53D6-25D2-53C6C71E4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704850</xdr:colOff>
      <xdr:row>0</xdr:row>
      <xdr:rowOff>66675</xdr:rowOff>
    </xdr:from>
    <xdr:to>
      <xdr:col>1</xdr:col>
      <xdr:colOff>1390650</xdr:colOff>
      <xdr:row>1</xdr:row>
      <xdr:rowOff>304800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CBB472D-74CE-7D40-FDAD-749467D506E4}"/>
            </a:ext>
            <a:ext uri="{147F2762-F138-4A5C-976F-8EAC2B608ADB}">
              <a16:predDERef xmlns:a16="http://schemas.microsoft.com/office/drawing/2014/main" pred="{DC588136-D3F3-7465-E7C5-7D3BE9448D84}"/>
            </a:ext>
          </a:extLst>
        </xdr:cNvPr>
        <xdr:cNvSpPr/>
      </xdr:nvSpPr>
      <xdr:spPr>
        <a:xfrm>
          <a:off x="1733550" y="66675"/>
          <a:ext cx="685800" cy="4286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0</xdr:colOff>
      <xdr:row>0</xdr:row>
      <xdr:rowOff>85725</xdr:rowOff>
    </xdr:from>
    <xdr:to>
      <xdr:col>0</xdr:col>
      <xdr:colOff>933450</xdr:colOff>
      <xdr:row>1</xdr:row>
      <xdr:rowOff>276225</xdr:rowOff>
    </xdr:to>
    <xdr:sp macro="" textlink="">
      <xdr:nvSpPr>
        <xdr:cNvPr id="3" name="Pentagon 2" title="CHART">
          <a:extLst>
            <a:ext uri="{FF2B5EF4-FFF2-40B4-BE49-F238E27FC236}">
              <a16:creationId xmlns:a16="http://schemas.microsoft.com/office/drawing/2014/main" id="{E17A8599-2C79-028E-9B18-AEA310F35F0B}"/>
            </a:ext>
            <a:ext uri="{147F2762-F138-4A5C-976F-8EAC2B608ADB}">
              <a16:predDERef xmlns:a16="http://schemas.microsoft.com/office/drawing/2014/main" pred="{735A71CC-347E-53D6-25D2-53C6C71E4456}"/>
            </a:ext>
          </a:extLst>
        </xdr:cNvPr>
        <xdr:cNvSpPr/>
      </xdr:nvSpPr>
      <xdr:spPr>
        <a:xfrm flipV="1">
          <a:off x="0" y="85725"/>
          <a:ext cx="933450" cy="381000"/>
        </a:xfrm>
        <a:prstGeom prst="homePlat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 editAs="oneCell">
    <xdr:from>
      <xdr:col>1</xdr:col>
      <xdr:colOff>723900</xdr:colOff>
      <xdr:row>0</xdr:row>
      <xdr:rowOff>142875</xdr:rowOff>
    </xdr:from>
    <xdr:to>
      <xdr:col>1</xdr:col>
      <xdr:colOff>1314450</xdr:colOff>
      <xdr:row>1</xdr:row>
      <xdr:rowOff>285750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B003B8-5D4A-DE36-FDAC-2DC641B935E3}"/>
            </a:ext>
            <a:ext uri="{147F2762-F138-4A5C-976F-8EAC2B608ADB}">
              <a16:predDERef xmlns:a16="http://schemas.microsoft.com/office/drawing/2014/main" pred="{E17A8599-2C79-028E-9B18-AEA310F35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6943" t="24187" b="18195"/>
        <a:stretch>
          <a:fillRect/>
        </a:stretch>
      </xdr:blipFill>
      <xdr:spPr>
        <a:xfrm>
          <a:off x="1752600" y="142875"/>
          <a:ext cx="590550" cy="33337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95250</xdr:rowOff>
    </xdr:from>
    <xdr:to>
      <xdr:col>1</xdr:col>
      <xdr:colOff>619125</xdr:colOff>
      <xdr:row>1</xdr:row>
      <xdr:rowOff>304800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588136-D3F3-7465-E7C5-7D3BE9448D84}"/>
            </a:ext>
            <a:ext uri="{147F2762-F138-4A5C-976F-8EAC2B608ADB}">
              <a16:predDERef xmlns:a16="http://schemas.microsoft.com/office/drawing/2014/main" pred="{49B003B8-5D4A-DE36-FDAC-2DC641B93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5098" t="16420" r="19860" b="29400"/>
        <a:stretch>
          <a:fillRect/>
        </a:stretch>
      </xdr:blipFill>
      <xdr:spPr>
        <a:xfrm>
          <a:off x="1114425" y="95250"/>
          <a:ext cx="533400" cy="400050"/>
        </a:xfrm>
        <a:prstGeom prst="rect">
          <a:avLst/>
        </a:prstGeom>
      </xdr:spPr>
    </xdr:pic>
    <xdr:clientData/>
  </xdr:twoCellAnchor>
  <xdr:twoCellAnchor>
    <xdr:from>
      <xdr:col>1</xdr:col>
      <xdr:colOff>1438275</xdr:colOff>
      <xdr:row>0</xdr:row>
      <xdr:rowOff>114300</xdr:rowOff>
    </xdr:from>
    <xdr:to>
      <xdr:col>1</xdr:col>
      <xdr:colOff>2371725</xdr:colOff>
      <xdr:row>1</xdr:row>
      <xdr:rowOff>304800</xdr:rowOff>
    </xdr:to>
    <xdr:sp macro="" textlink="">
      <xdr:nvSpPr>
        <xdr:cNvPr id="8" name="Pentagon 7" title="CHART">
          <a:extLst>
            <a:ext uri="{FF2B5EF4-FFF2-40B4-BE49-F238E27FC236}">
              <a16:creationId xmlns:a16="http://schemas.microsoft.com/office/drawing/2014/main" id="{CAD7CD05-EC28-4FC3-90D0-829DD7FA5326}"/>
            </a:ext>
            <a:ext uri="{147F2762-F138-4A5C-976F-8EAC2B608ADB}">
              <a16:predDERef xmlns:a16="http://schemas.microsoft.com/office/drawing/2014/main" pred="{DC588136-D3F3-7465-E7C5-7D3BE9448D84}"/>
            </a:ext>
          </a:extLst>
        </xdr:cNvPr>
        <xdr:cNvSpPr/>
      </xdr:nvSpPr>
      <xdr:spPr>
        <a:xfrm rot="10727022" flipV="1">
          <a:off x="2466975" y="114300"/>
          <a:ext cx="933450" cy="381000"/>
        </a:xfrm>
        <a:prstGeom prst="homePlat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REPORTS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323850</xdr:colOff>
      <xdr:row>25</xdr:row>
      <xdr:rowOff>57150</xdr:rowOff>
    </xdr:from>
    <xdr:to>
      <xdr:col>25</xdr:col>
      <xdr:colOff>352425</xdr:colOff>
      <xdr:row>31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298EBB-C8CB-EA84-FD7F-BC009E572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44650" y="4819650"/>
          <a:ext cx="1247775" cy="1085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428625</xdr:colOff>
      <xdr:row>155</xdr:row>
      <xdr:rowOff>104775</xdr:rowOff>
    </xdr:from>
    <xdr:to>
      <xdr:col>11</xdr:col>
      <xdr:colOff>1209675</xdr:colOff>
      <xdr:row>164</xdr:row>
      <xdr:rowOff>142875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DEDF5BFC-867E-9345-9C14-0EE3AB5D45F6}"/>
            </a:ext>
          </a:extLst>
        </xdr:cNvPr>
        <xdr:cNvSpPr/>
      </xdr:nvSpPr>
      <xdr:spPr>
        <a:xfrm>
          <a:off x="9582150" y="48244125"/>
          <a:ext cx="5238750" cy="2781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ORDER ID M JAN EXTRA SPACE HOTA HAI TO FORMULA NAHI LGTA HAI ISLIE KHI SIDE M =TRIM() LGAKE EK ORDERID SELECT KRKE DRAG KRKE ORDER ID BNA ENGE AND COPY KRKE AS VALUE PASTE KRENGE</a:t>
          </a:r>
        </a:p>
      </xdr:txBody>
    </xdr:sp>
    <xdr:clientData/>
  </xdr:twoCellAnchor>
  <xdr:twoCellAnchor>
    <xdr:from>
      <xdr:col>5</xdr:col>
      <xdr:colOff>104775</xdr:colOff>
      <xdr:row>231</xdr:row>
      <xdr:rowOff>66675</xdr:rowOff>
    </xdr:from>
    <xdr:to>
      <xdr:col>6</xdr:col>
      <xdr:colOff>514350</xdr:colOff>
      <xdr:row>234</xdr:row>
      <xdr:rowOff>0</xdr:rowOff>
    </xdr:to>
    <xdr:sp macro="" textlink="">
      <xdr:nvSpPr>
        <xdr:cNvPr id="3" name="Right Arrow 1">
          <a:extLst>
            <a:ext uri="{FF2B5EF4-FFF2-40B4-BE49-F238E27FC236}">
              <a16:creationId xmlns:a16="http://schemas.microsoft.com/office/drawing/2014/main" id="{1B092EFD-F776-4458-A262-55902621B0EF}"/>
            </a:ext>
            <a:ext uri="{147F2762-F138-4A5C-976F-8EAC2B608ADB}">
              <a16:predDERef xmlns:a16="http://schemas.microsoft.com/office/drawing/2014/main" pred="{DEDF5BFC-867E-9345-9C14-0EE3AB5D45F6}"/>
            </a:ext>
          </a:extLst>
        </xdr:cNvPr>
        <xdr:cNvSpPr/>
      </xdr:nvSpPr>
      <xdr:spPr>
        <a:xfrm>
          <a:off x="3676650" y="257175"/>
          <a:ext cx="1019175" cy="50482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9</xdr:col>
      <xdr:colOff>47625</xdr:colOff>
      <xdr:row>230</xdr:row>
      <xdr:rowOff>76200</xdr:rowOff>
    </xdr:from>
    <xdr:to>
      <xdr:col>14</xdr:col>
      <xdr:colOff>133350</xdr:colOff>
      <xdr:row>234</xdr:row>
      <xdr:rowOff>180975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3E66C5F7-EF28-4C2A-B8DA-1FF5D3709112}"/>
            </a:ext>
            <a:ext uri="{147F2762-F138-4A5C-976F-8EAC2B608ADB}">
              <a16:predDERef xmlns:a16="http://schemas.microsoft.com/office/drawing/2014/main" pred="{1B092EFD-F776-4458-A262-55902621B0EF}"/>
            </a:ext>
          </a:extLst>
        </xdr:cNvPr>
        <xdr:cNvSpPr/>
      </xdr:nvSpPr>
      <xdr:spPr>
        <a:xfrm>
          <a:off x="6610350" y="76200"/>
          <a:ext cx="4210050" cy="8667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XLOOKUP DYNAMIC FORMULA</a:t>
          </a:r>
        </a:p>
        <a:p>
          <a:pPr marL="0" indent="0" algn="l"/>
          <a:endParaRPr lang="en-US" sz="20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5</xdr:col>
      <xdr:colOff>28575</xdr:colOff>
      <xdr:row>237</xdr:row>
      <xdr:rowOff>9525</xdr:rowOff>
    </xdr:from>
    <xdr:to>
      <xdr:col>6</xdr:col>
      <xdr:colOff>438150</xdr:colOff>
      <xdr:row>239</xdr:row>
      <xdr:rowOff>133350</xdr:rowOff>
    </xdr:to>
    <xdr:sp macro="" textlink="">
      <xdr:nvSpPr>
        <xdr:cNvPr id="5" name="Right Arrow 3">
          <a:extLst>
            <a:ext uri="{FF2B5EF4-FFF2-40B4-BE49-F238E27FC236}">
              <a16:creationId xmlns:a16="http://schemas.microsoft.com/office/drawing/2014/main" id="{2CC5AA32-4DBE-40B0-B251-9B8D21EED501}"/>
            </a:ext>
            <a:ext uri="{147F2762-F138-4A5C-976F-8EAC2B608ADB}">
              <a16:predDERef xmlns:a16="http://schemas.microsoft.com/office/drawing/2014/main" pred="{3E66C5F7-EF28-4C2A-B8DA-1FF5D3709112}"/>
            </a:ext>
          </a:extLst>
        </xdr:cNvPr>
        <xdr:cNvSpPr/>
      </xdr:nvSpPr>
      <xdr:spPr>
        <a:xfrm rot="1360281">
          <a:off x="3600450" y="1343025"/>
          <a:ext cx="1019175" cy="50482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76200</xdr:colOff>
      <xdr:row>236</xdr:row>
      <xdr:rowOff>180975</xdr:rowOff>
    </xdr:from>
    <xdr:to>
      <xdr:col>14</xdr:col>
      <xdr:colOff>161925</xdr:colOff>
      <xdr:row>242</xdr:row>
      <xdr:rowOff>104775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C3F4311F-0D3B-45F3-B868-FB26BE32DCD3}"/>
            </a:ext>
            <a:ext uri="{147F2762-F138-4A5C-976F-8EAC2B608ADB}">
              <a16:predDERef xmlns:a16="http://schemas.microsoft.com/office/drawing/2014/main" pred="{2CC5AA32-4DBE-40B0-B251-9B8D21EED501}"/>
            </a:ext>
          </a:extLst>
        </xdr:cNvPr>
        <xdr:cNvSpPr/>
      </xdr:nvSpPr>
      <xdr:spPr>
        <a:xfrm>
          <a:off x="6638925" y="1323975"/>
          <a:ext cx="4210050" cy="1066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XLOOKUP DYNAMIV FORMULA WITH SAME COLUMNS</a:t>
          </a:r>
        </a:p>
      </xdr:txBody>
    </xdr:sp>
    <xdr:clientData/>
  </xdr:twoCellAnchor>
  <xdr:twoCellAnchor>
    <xdr:from>
      <xdr:col>14</xdr:col>
      <xdr:colOff>371475</xdr:colOff>
      <xdr:row>230</xdr:row>
      <xdr:rowOff>57150</xdr:rowOff>
    </xdr:from>
    <xdr:to>
      <xdr:col>16</xdr:col>
      <xdr:colOff>390525</xdr:colOff>
      <xdr:row>234</xdr:row>
      <xdr:rowOff>123825</xdr:rowOff>
    </xdr:to>
    <xdr:sp macro="" textlink="">
      <xdr:nvSpPr>
        <xdr:cNvPr id="7" name="Cloud Callout 5">
          <a:extLst>
            <a:ext uri="{FF2B5EF4-FFF2-40B4-BE49-F238E27FC236}">
              <a16:creationId xmlns:a16="http://schemas.microsoft.com/office/drawing/2014/main" id="{0EFD9C21-435C-4882-BDA5-F88EEC6447F6}"/>
            </a:ext>
            <a:ext uri="{147F2762-F138-4A5C-976F-8EAC2B608ADB}">
              <a16:predDERef xmlns:a16="http://schemas.microsoft.com/office/drawing/2014/main" pred="{C3F4311F-0D3B-45F3-B868-FB26BE32DCD3}"/>
            </a:ext>
          </a:extLst>
        </xdr:cNvPr>
        <xdr:cNvSpPr/>
      </xdr:nvSpPr>
      <xdr:spPr>
        <a:xfrm>
          <a:off x="11058525" y="57150"/>
          <a:ext cx="1238250" cy="828675"/>
        </a:xfrm>
        <a:prstGeom prst="cloudCallou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CASE 1</a:t>
          </a:r>
        </a:p>
      </xdr:txBody>
    </xdr:sp>
    <xdr:clientData/>
  </xdr:twoCellAnchor>
  <xdr:twoCellAnchor>
    <xdr:from>
      <xdr:col>14</xdr:col>
      <xdr:colOff>333375</xdr:colOff>
      <xdr:row>237</xdr:row>
      <xdr:rowOff>0</xdr:rowOff>
    </xdr:from>
    <xdr:to>
      <xdr:col>16</xdr:col>
      <xdr:colOff>342900</xdr:colOff>
      <xdr:row>241</xdr:row>
      <xdr:rowOff>57150</xdr:rowOff>
    </xdr:to>
    <xdr:sp macro="" textlink="">
      <xdr:nvSpPr>
        <xdr:cNvPr id="8" name="Cloud Callout 6">
          <a:extLst>
            <a:ext uri="{FF2B5EF4-FFF2-40B4-BE49-F238E27FC236}">
              <a16:creationId xmlns:a16="http://schemas.microsoft.com/office/drawing/2014/main" id="{03C36344-0A21-4CC0-AD12-7BE6E20B055A}"/>
            </a:ext>
            <a:ext uri="{147F2762-F138-4A5C-976F-8EAC2B608ADB}">
              <a16:predDERef xmlns:a16="http://schemas.microsoft.com/office/drawing/2014/main" pred="{0EFD9C21-435C-4882-BDA5-F88EEC6447F6}"/>
            </a:ext>
          </a:extLst>
        </xdr:cNvPr>
        <xdr:cNvSpPr/>
      </xdr:nvSpPr>
      <xdr:spPr>
        <a:xfrm>
          <a:off x="11020425" y="1333500"/>
          <a:ext cx="1228725" cy="819150"/>
        </a:xfrm>
        <a:prstGeom prst="cloudCallou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0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CASE2</a:t>
          </a:r>
        </a:p>
        <a:p>
          <a:pPr marL="0" indent="0" algn="l"/>
          <a:endParaRPr lang="en-US" sz="2000" b="1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2000" b="1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20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</a:t>
          </a:r>
        </a:p>
        <a:p>
          <a:pPr marL="0" indent="0" algn="l"/>
          <a:r>
            <a:rPr lang="en-US" sz="20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CASE</a:t>
          </a:r>
        </a:p>
      </xdr:txBody>
    </xdr:sp>
    <xdr:clientData/>
  </xdr:twoCellAnchor>
  <xdr:twoCellAnchor>
    <xdr:from>
      <xdr:col>0</xdr:col>
      <xdr:colOff>0</xdr:colOff>
      <xdr:row>242</xdr:row>
      <xdr:rowOff>85725</xdr:rowOff>
    </xdr:from>
    <xdr:to>
      <xdr:col>2</xdr:col>
      <xdr:colOff>295275</xdr:colOff>
      <xdr:row>246</xdr:row>
      <xdr:rowOff>57150</xdr:rowOff>
    </xdr:to>
    <xdr:sp macro="" textlink="">
      <xdr:nvSpPr>
        <xdr:cNvPr id="9" name="Rounded Rectangle 7">
          <a:extLst>
            <a:ext uri="{FF2B5EF4-FFF2-40B4-BE49-F238E27FC236}">
              <a16:creationId xmlns:a16="http://schemas.microsoft.com/office/drawing/2014/main" id="{99F5DD81-4FA1-41F1-8E23-968AF9684769}"/>
            </a:ext>
            <a:ext uri="{147F2762-F138-4A5C-976F-8EAC2B608ADB}">
              <a16:predDERef xmlns:a16="http://schemas.microsoft.com/office/drawing/2014/main" pred="{03C36344-0A21-4CC0-AD12-7BE6E20B055A}"/>
            </a:ext>
          </a:extLst>
        </xdr:cNvPr>
        <xdr:cNvSpPr/>
      </xdr:nvSpPr>
      <xdr:spPr>
        <a:xfrm>
          <a:off x="0" y="2371725"/>
          <a:ext cx="1514475" cy="733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DOUBLE XLOOKUP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0.531416666665" createdVersion="8" refreshedVersion="8" minRefreshableVersion="3" recordCount="148" xr:uid="{CFBADC64-E9A5-4EE5-A670-13A1D829BB6A}">
  <cacheSource type="worksheet">
    <worksheetSource ref="A2:G150" sheet="SUMMARY"/>
  </cacheSource>
  <cacheFields count="7">
    <cacheField name="Mum_Abdul Hamid (1008512)" numFmtId="0">
      <sharedItems/>
    </cacheField>
    <cacheField name="Abdul Hamid" numFmtId="0">
      <sharedItems count="140">
        <s v="Afzal Husain"/>
        <s v="Anamika Gupta"/>
        <s v="Anikuttan"/>
        <s v="Anil Kumar"/>
        <s v="Anita Dixit"/>
        <s v="Anita Ghore"/>
        <s v="Anjali Deoram"/>
        <s v="Anjali Sahay"/>
        <s v="Annu Latika"/>
        <s v="Anoop Narayan"/>
        <s v="Anoop Raj"/>
        <s v="Anubhuti Gupta"/>
        <s v="Arun Kumar"/>
        <s v="Ashish Kumar"/>
        <s v="Ashok Kumar"/>
        <s v="Ashok Mahto"/>
        <s v="Atul Kumar"/>
        <s v="Azam"/>
        <s v="Bhagwat Singh"/>
        <s v="Bindu Nair"/>
        <s v="Daleep Singh"/>
        <s v="Deepak Kumar"/>
        <s v="Deepika Nigam"/>
        <s v="Dinesh Kumar"/>
        <s v="Hari Kumar"/>
        <s v="Heeramani Choudhary"/>
        <s v="Indra Pal"/>
        <s v="Indra Singh"/>
        <s v="Jagdish Chandra"/>
        <s v="Jairaj Vatham"/>
        <s v="Janardan Mishra"/>
        <s v="Jitendra Kumar"/>
        <s v="John D'Costa"/>
        <s v="Julie S"/>
        <s v="Jyoti Tulsani"/>
        <s v="Kahkasha Parveen"/>
        <s v="Kailash Nath"/>
        <s v="Kalpana Agrawal"/>
        <s v="Kamini Kumar"/>
        <s v="Kamini Tiwari"/>
        <s v="Kavita Sharma"/>
        <s v="Kiran Khubchandani"/>
        <s v="Kisun Sah"/>
        <s v="Krishana Kumar"/>
        <s v="Kunj Bihari"/>
        <s v="Leena George"/>
        <s v="Lilly Lucy"/>
        <s v="Mangal Singh"/>
        <s v="Manisha Shrivastava"/>
        <s v="Manjusha Sinha"/>
        <s v="ManjuTiwari Lab"/>
        <s v="Manoj Kumar"/>
        <s v="Masroor Adil"/>
        <s v="Meena Zinjare"/>
        <s v="Mehnaz Khan"/>
        <s v="Mercy Thampi"/>
        <s v="Miny Mole"/>
        <s v="Mohd Rafi"/>
        <s v="Mubeen Khan"/>
        <s v="Mukesh Nagar"/>
        <s v="Nandu Kumar"/>
        <s v="Narayan Singh"/>
        <s v="Neeraj Saxena"/>
        <s v="Neeru Mehta"/>
        <s v="Nikita Panwalkar"/>
        <s v="Nitin Bhatia"/>
        <s v="Om Prakash"/>
        <s v="Omprakash O"/>
        <s v="Owais Mohd"/>
        <s v="Pankaj Shelkey"/>
        <s v="Partha Sarathi"/>
        <s v="Prabha Desikan"/>
        <s v="Pramod Tiwari"/>
        <s v="Prasannakumari S"/>
        <s v="Praveen Kumar"/>
        <s v="Rachel Mathew"/>
        <s v="Rachita Anupam"/>
        <s v="Rachna Chauhan"/>
        <s v="Raj Kumar"/>
        <s v="Rajeev Garg"/>
        <s v="Rajeev Kumar"/>
        <s v="Rajendra Gupta"/>
        <s v="Rajendra Kumar"/>
        <s v="Rajendra Prasad"/>
        <s v="Rajesh Kumar"/>
        <s v="Rajesh Sharma"/>
        <s v="Raji Abraham"/>
        <s v="Rajshree Dhabekar"/>
        <s v="Rakhi Jodhani"/>
        <s v="Ramji Prasad"/>
        <s v="Rashid"/>
        <s v="Rashmi Gajbe"/>
        <s v="Ravi Kumar"/>
        <s v="Ravinder Kaur"/>
        <s v="Rekha Agarwal"/>
        <s v="Rekha Gupta"/>
        <s v="Rekha Jain"/>
        <s v="Renu Pratap"/>
        <s v="Ritu Bhatnagar"/>
        <s v="Rohit Nishchal"/>
        <s v="Roli Bhatnagar"/>
        <s v="Roma Rastogi"/>
        <s v="Roohi Haider"/>
        <s v="Sajid Naqvi"/>
        <s v="Salim"/>
        <s v="Sanjay Hire"/>
        <s v="Sanjiv Subherwal"/>
        <s v="Sanju Ramdas"/>
        <s v="Santosh Kumar"/>
        <s v="Sapna Sharma"/>
        <s v="Saroj Parita"/>
        <s v="Shailaja Kamal"/>
        <s v="Shailendra Barge"/>
        <s v="Shankar Attendant"/>
        <s v="Shashikant Tiwari"/>
        <s v="Sheeba Joseph"/>
        <s v="Sheena Joseph"/>
        <s v="Shephali Jain"/>
        <s v="Shivji Prasad"/>
        <s v="Shubhanjali Joshi"/>
        <s v="Shyamal Malakar"/>
        <s v="Sneh Khan"/>
        <s v="Sonaram Munda"/>
        <s v="Sudama Kumar"/>
        <s v="Sudhir Kumar"/>
        <s v="Sunil Kumar"/>
        <s v="Sunita Chawla"/>
        <s v="Sunita Madnani"/>
        <s v="Surendra Kumar"/>
        <s v="Surendranath Thakur"/>
        <s v="Sushma Khandelwal"/>
        <s v="Swarnlata Borse"/>
        <s v="Syed Naved"/>
        <s v="Syed Saqib"/>
        <s v="Syed Sohail"/>
        <s v="System Operator"/>
        <s v="Tahira Qureshi"/>
        <s v="Tapas Chakraborty"/>
        <s v="Tariq Akhlaq"/>
        <s v="Tasneem Khan"/>
      </sharedItems>
    </cacheField>
    <cacheField name="08:12:43" numFmtId="165">
      <sharedItems containsSemiMixedTypes="0" containsNonDate="0" containsDate="1" containsString="0" minDate="1899-12-30T04:56:13" maxDate="1899-12-30T09:16:31"/>
    </cacheField>
    <cacheField name="04:57:59" numFmtId="0">
      <sharedItems containsNonDate="0" containsDate="1" containsString="0" containsBlank="1" minDate="1899-12-30T00:00:00" maxDate="1899-12-30T05:52:08"/>
    </cacheField>
    <cacheField name="01:08:42" numFmtId="165">
      <sharedItems containsSemiMixedTypes="0" containsNonDate="0" containsDate="1" containsString="0" minDate="1899-12-30T00:15:00" maxDate="1899-12-30T08:17:00"/>
    </cacheField>
    <cacheField name="98" numFmtId="0">
      <sharedItems containsSemiMixedTypes="0" containsString="0" containsNumber="1" containsInteger="1" minValue="23" maxValue="107"/>
    </cacheField>
    <cacheField name="56%" numFmtId="9">
      <sharedItems containsSemiMixedTypes="0" containsString="0" containsNumber="1" minValue="0" maxValue="0.655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s v="Mum_Afzal Husain (1008513)"/>
    <x v="0"/>
    <d v="1899-12-30T08:15:36"/>
    <d v="1899-12-30T04:58:34"/>
    <d v="1899-12-30T01:09:59"/>
    <n v="23"/>
    <n v="0.58030000000000004"/>
  </r>
  <r>
    <s v="Mum_Anamika Gupta (1008514)"/>
    <x v="1"/>
    <d v="1899-12-30T08:16:57"/>
    <d v="1899-12-30T04:49:35"/>
    <d v="1899-12-30T01:13:54"/>
    <n v="28"/>
    <n v="0.5171"/>
  </r>
  <r>
    <s v="Mum_Anikuttan (1008515)"/>
    <x v="2"/>
    <d v="1899-12-30T08:09:56"/>
    <d v="1899-12-30T04:17:32"/>
    <d v="1899-12-30T02:19:02"/>
    <n v="29"/>
    <n v="0.47720000000000001"/>
  </r>
  <r>
    <s v="Mum_Anil Kumar (1008516)"/>
    <x v="3"/>
    <d v="1899-12-30T07:20:41"/>
    <d v="1899-12-30T03:19:44"/>
    <d v="1899-12-30T03:04:58"/>
    <n v="93"/>
    <n v="0.43290000000000001"/>
  </r>
  <r>
    <s v="Mum_Anita Dixit (1008517)"/>
    <x v="4"/>
    <d v="1899-12-30T05:00:09"/>
    <d v="1899-12-30T03:41:19"/>
    <d v="1899-12-30T00:27:07"/>
    <n v="92"/>
    <n v="0.65500000000000003"/>
  </r>
  <r>
    <s v="Mum_Anita Ghore (1008518)"/>
    <x v="5"/>
    <d v="1899-12-30T08:16:38"/>
    <d v="1899-12-30T04:12:46"/>
    <d v="1899-12-30T02:41:42"/>
    <n v="26"/>
    <n v="0.49480000000000002"/>
  </r>
  <r>
    <s v="Mum_Anjali Deoram (1008519)"/>
    <x v="6"/>
    <d v="1899-12-30T09:16:31"/>
    <d v="1899-12-30T05:52:08"/>
    <d v="1899-12-30T01:13:10"/>
    <n v="90"/>
    <n v="0.55130000000000001"/>
  </r>
  <r>
    <s v="Mum_Anjali Sahay (1008520)"/>
    <x v="7"/>
    <d v="1899-12-30T08:13:18"/>
    <d v="1899-12-30T04:52:29"/>
    <d v="1899-12-30T01:06:39"/>
    <n v="89"/>
    <n v="0.55210000000000004"/>
  </r>
  <r>
    <s v="Mum_Annu Latika (1008521)"/>
    <x v="8"/>
    <d v="1899-12-30T08:20:41"/>
    <d v="1899-12-30T04:58:07"/>
    <d v="1899-12-30T01:09:57"/>
    <n v="54"/>
    <n v="0.56869999999999998"/>
  </r>
  <r>
    <s v="Mum_Anoop Narayan (1008522)"/>
    <x v="9"/>
    <d v="1899-12-30T08:10:35"/>
    <d v="1899-12-30T04:55:28"/>
    <d v="1899-12-30T01:09:15"/>
    <n v="87"/>
    <n v="0.56040000000000001"/>
  </r>
  <r>
    <s v="Mum_Anoop Raj (1008523)"/>
    <x v="10"/>
    <d v="1899-12-30T08:04:10"/>
    <d v="1899-12-30T03:47:42"/>
    <d v="1899-12-30T03:01:18"/>
    <n v="65"/>
    <n v="0.41549999999999998"/>
  </r>
  <r>
    <s v="Mum_Anubhuti Gupta (1008524)"/>
    <x v="11"/>
    <d v="1899-12-30T08:14:38"/>
    <d v="1899-12-30T04:43:40"/>
    <d v="1899-12-30T02:06:41"/>
    <n v="85"/>
    <n v="0.50029999999999997"/>
  </r>
  <r>
    <s v="Mum_Arun Kumar (1008525)"/>
    <x v="12"/>
    <d v="1899-12-30T07:59:50"/>
    <d v="1899-12-30T04:40:27"/>
    <d v="1899-12-30T01:10:34"/>
    <n v="65"/>
    <n v="0.51400000000000001"/>
  </r>
  <r>
    <s v="Mum_Ashish Kumar (1008526)"/>
    <x v="13"/>
    <d v="1899-12-30T08:16:59"/>
    <d v="1899-12-30T04:57:35"/>
    <d v="1899-12-30T01:16:59"/>
    <n v="83"/>
    <n v="0.51060000000000005"/>
  </r>
  <r>
    <s v="Mum_Ashok Kumar (1008527)"/>
    <x v="14"/>
    <d v="1899-12-30T08:17:15"/>
    <d v="1899-12-30T04:10:25"/>
    <d v="1899-12-30T02:24:20"/>
    <n v="82"/>
    <n v="0.4829"/>
  </r>
  <r>
    <s v="Hyd_Ashok Kumar (1008528)"/>
    <x v="14"/>
    <d v="1899-12-30T07:53:01"/>
    <d v="1899-12-30T04:44:12"/>
    <d v="1899-12-30T00:56:29"/>
    <n v="81"/>
    <n v="0.5736"/>
  </r>
  <r>
    <s v="Hyd_Ashok Kumar (1008529)"/>
    <x v="14"/>
    <d v="1899-12-30T08:16:43"/>
    <d v="1899-12-30T04:58:07"/>
    <d v="1899-12-30T01:10:07"/>
    <n v="80"/>
    <n v="0.56430000000000002"/>
  </r>
  <r>
    <s v="Hyd_Ashok Kumar (1008530)"/>
    <x v="14"/>
    <d v="1899-12-30T08:21:16"/>
    <d v="1899-12-30T04:23:03"/>
    <d v="1899-12-30T02:40:10"/>
    <n v="79"/>
    <n v="0.46970000000000001"/>
  </r>
  <r>
    <s v="Hyd_Ashok Mahto (1008531)"/>
    <x v="15"/>
    <d v="1899-12-30T08:17:52"/>
    <d v="1899-12-30T04:58:14"/>
    <d v="1899-12-30T01:14:30"/>
    <n v="78"/>
    <n v="0.57499999999999996"/>
  </r>
  <r>
    <s v="Hyd_Atul Kumar (1008532)"/>
    <x v="16"/>
    <d v="1899-12-30T08:13:41"/>
    <d v="1899-12-30T04:53:40"/>
    <d v="1899-12-30T01:06:59"/>
    <n v="77"/>
    <n v="0.57950000000000002"/>
  </r>
  <r>
    <s v="Hyd_Azam (1008533)"/>
    <x v="17"/>
    <d v="1899-12-30T08:17:34"/>
    <d v="1899-12-30T04:59:50"/>
    <d v="1899-12-30T01:09:47"/>
    <n v="76"/>
    <n v="0.58830000000000005"/>
  </r>
  <r>
    <s v="Hyd_Bhagwat Singh (1008534)"/>
    <x v="18"/>
    <d v="1899-12-30T07:41:44"/>
    <d v="1899-12-30T04:08:57"/>
    <d v="1899-12-30T02:10:18"/>
    <n v="75"/>
    <n v="0.4627"/>
  </r>
  <r>
    <s v="Hyd_Bindu Nair (1008535)"/>
    <x v="19"/>
    <d v="1899-12-30T08:10:04"/>
    <d v="1899-12-30T04:14:05"/>
    <d v="1899-12-30T02:11:17"/>
    <n v="74"/>
    <n v="0.47799999999999998"/>
  </r>
  <r>
    <s v="Hyd_Daleep Singh (1008536)"/>
    <x v="20"/>
    <d v="1899-12-30T08:14:20"/>
    <d v="1899-12-30T05:26:56"/>
    <d v="1899-12-30T01:12:54"/>
    <n v="73"/>
    <n v="0.5998"/>
  </r>
  <r>
    <s v="Hyd_Deepak Kumar (1008537)"/>
    <x v="21"/>
    <d v="1899-12-30T07:35:57"/>
    <d v="1899-12-30T05:05:16"/>
    <d v="1899-12-30T00:30:30"/>
    <n v="72"/>
    <n v="0.65029999999999999"/>
  </r>
  <r>
    <s v="Hyd_Deepika Nigam (1008538)"/>
    <x v="22"/>
    <d v="1899-12-30T08:16:59"/>
    <d v="1899-12-30T04:56:45"/>
    <d v="1899-12-30T01:11:40"/>
    <n v="71"/>
    <n v="0.55000000000000004"/>
  </r>
  <r>
    <s v="Hyd_Dinesh Kumar (1008539)"/>
    <x v="23"/>
    <d v="1899-12-30T08:13:53"/>
    <d v="1899-12-30T05:06:20"/>
    <d v="1899-12-30T01:10:03"/>
    <n v="70"/>
    <n v="0.51329999999999998"/>
  </r>
  <r>
    <s v="Hyd_Hari Kumar (1008540)"/>
    <x v="24"/>
    <d v="1899-12-30T08:15:11"/>
    <d v="1899-12-30T04:11:43"/>
    <d v="1899-12-30T02:44:52"/>
    <n v="69"/>
    <n v="0.436"/>
  </r>
  <r>
    <s v="Hyd_Heeramani Choudhary (1008541)"/>
    <x v="25"/>
    <d v="1899-12-30T07:27:24"/>
    <d v="1899-12-30T04:35:28"/>
    <d v="1899-12-30T01:20:20"/>
    <n v="68"/>
    <n v="0.52949999999999997"/>
  </r>
  <r>
    <s v="Hyd_Indra Pal (1008542)"/>
    <x v="26"/>
    <d v="1899-12-30T07:59:57"/>
    <d v="1899-12-30T05:14:16"/>
    <d v="1899-12-30T01:09:15"/>
    <n v="67"/>
    <n v="0.5645"/>
  </r>
  <r>
    <s v="Hyd_Indra Singh (1008543)"/>
    <x v="27"/>
    <d v="1899-12-30T08:17:44"/>
    <d v="1899-12-30T05:05:03"/>
    <d v="1899-12-30T02:09:14"/>
    <n v="66"/>
    <n v="0.49790000000000001"/>
  </r>
  <r>
    <s v="Hyd_Jagdish Chandra (1008544)"/>
    <x v="28"/>
    <d v="1899-12-30T08:19:10"/>
    <d v="1899-12-30T04:59:15"/>
    <d v="1899-12-30T01:09:03"/>
    <n v="65"/>
    <n v="0.56269999999999998"/>
  </r>
  <r>
    <s v="Hyd_Jairaj Vatham (1008545)"/>
    <x v="29"/>
    <d v="1899-12-30T08:16:23"/>
    <d v="1899-12-30T05:02:08"/>
    <d v="1899-12-30T01:09:56"/>
    <n v="64"/>
    <n v="0.57679999999999998"/>
  </r>
  <r>
    <s v="Hyd_Janardan Mishra (1008546)"/>
    <x v="30"/>
    <d v="1899-12-30T07:39:42"/>
    <d v="1899-12-30T04:32:56"/>
    <d v="1899-12-30T01:28:09"/>
    <n v="63"/>
    <n v="0.55730000000000002"/>
  </r>
  <r>
    <s v="Hyd_Jitendra Kumar (1008547)"/>
    <x v="31"/>
    <d v="1899-12-30T08:11:27"/>
    <d v="1899-12-30T04:07:41"/>
    <d v="1899-12-30T02:35:12"/>
    <n v="62"/>
    <n v="0.47589999999999999"/>
  </r>
  <r>
    <s v="Hyd_John D'Costa (1008548)"/>
    <x v="32"/>
    <d v="1899-12-30T08:09:47"/>
    <d v="1899-12-30T04:51:30"/>
    <d v="1899-12-30T01:09:36"/>
    <n v="61"/>
    <n v="0.55640000000000001"/>
  </r>
  <r>
    <s v="Hyd_Julie S (1008549)"/>
    <x v="33"/>
    <d v="1899-12-30T08:15:46"/>
    <d v="1899-12-30T04:56:12"/>
    <d v="1899-12-30T01:10:44"/>
    <n v="60"/>
    <n v="0.52800000000000002"/>
  </r>
  <r>
    <s v="Hyd_Jyoti Tulsani (1008550)"/>
    <x v="34"/>
    <d v="1899-12-30T08:15:19"/>
    <d v="1899-12-30T04:56:56"/>
    <d v="1899-12-30T01:10:27"/>
    <n v="59"/>
    <n v="0.56499999999999995"/>
  </r>
  <r>
    <s v="Hyd_Kahkasha Parveen (1008551)"/>
    <x v="35"/>
    <d v="1899-12-30T08:17:24"/>
    <d v="1899-12-30T05:25:18"/>
    <d v="1899-12-30T01:10:12"/>
    <n v="58"/>
    <n v="0.48580000000000001"/>
  </r>
  <r>
    <s v="Hyd_Kailash Nath (1008552)"/>
    <x v="36"/>
    <d v="1899-12-30T08:16:01"/>
    <d v="1899-12-30T04:58:27"/>
    <d v="1899-12-30T01:07:40"/>
    <n v="57"/>
    <n v="0.57230000000000003"/>
  </r>
  <r>
    <s v="Hyd_Kalpana Agrawal (1008553)"/>
    <x v="37"/>
    <d v="1899-12-30T08:00:08"/>
    <d v="1899-12-30T03:54:19"/>
    <d v="1899-12-30T02:24:54"/>
    <n v="56"/>
    <n v="0.46539999999999998"/>
  </r>
  <r>
    <s v="Hyd_Kamini Kumar (1008554)"/>
    <x v="38"/>
    <d v="1899-12-30T05:01:37"/>
    <d v="1899-12-30T03:21:30"/>
    <d v="1899-12-30T00:15:00"/>
    <n v="55"/>
    <n v="0.64380000000000004"/>
  </r>
  <r>
    <s v="Hyd_Kamini Tiwari (1008555)"/>
    <x v="39"/>
    <d v="1899-12-30T08:26:46"/>
    <d v="1899-12-30T05:18:49"/>
    <d v="1899-12-30T01:09:45"/>
    <n v="54"/>
    <n v="0.57350000000000001"/>
  </r>
  <r>
    <s v="Hyd_Kavita Sharma (1008556)"/>
    <x v="40"/>
    <d v="1899-12-30T07:53:25"/>
    <d v="1899-12-30T05:26:19"/>
    <d v="1899-12-30T00:56:19"/>
    <n v="53"/>
    <n v="0.6472"/>
  </r>
  <r>
    <s v="Hyd_Kiran Khubchandani (1008557)"/>
    <x v="41"/>
    <d v="1899-12-30T08:01:28"/>
    <d v="1899-12-30T04:13:15"/>
    <d v="1899-12-30T02:10:24"/>
    <n v="52"/>
    <n v="0.50439999999999996"/>
  </r>
  <r>
    <s v="Hyd_Kisun Sah (1008558)"/>
    <x v="42"/>
    <d v="1899-12-30T08:21:34"/>
    <d v="1899-12-30T05:08:41"/>
    <d v="1899-12-30T01:09:28"/>
    <n v="51"/>
    <n v="0.55279999999999996"/>
  </r>
  <r>
    <s v="Hyd_Krishana Kumar (1008559)"/>
    <x v="43"/>
    <d v="1899-12-30T08:15:28"/>
    <d v="1899-12-30T04:45:06"/>
    <d v="1899-12-30T01:09:45"/>
    <n v="50"/>
    <n v="0.55489999999999995"/>
  </r>
  <r>
    <s v="Hyd_Kunj Bihari (1008560)"/>
    <x v="44"/>
    <d v="1899-12-30T07:59:19"/>
    <d v="1899-12-30T04:42:13"/>
    <d v="1899-12-30T01:10:11"/>
    <n v="49"/>
    <n v="0.55220000000000002"/>
  </r>
  <r>
    <s v="Hyd_Leena George (1008561)"/>
    <x v="45"/>
    <d v="1899-12-30T04:56:13"/>
    <d v="1899-12-30T03:10:50"/>
    <d v="1899-12-30T00:18:10"/>
    <n v="48"/>
    <n v="0.58819999999999995"/>
  </r>
  <r>
    <s v="Hyd_Lilly Lucy (1008562)"/>
    <x v="46"/>
    <d v="1899-12-30T07:45:23"/>
    <d v="1899-12-30T04:39:06"/>
    <d v="1899-12-30T01:14:44"/>
    <n v="47"/>
    <n v="0.55530000000000002"/>
  </r>
  <r>
    <s v="Hyd_Mangal Singh (1008563)"/>
    <x v="47"/>
    <d v="1899-12-30T08:00:13"/>
    <d v="1899-12-30T04:46:25"/>
    <d v="1899-12-30T01:10:04"/>
    <n v="46"/>
    <n v="0.55820000000000003"/>
  </r>
  <r>
    <s v="Hyd_Manisha Shrivastava (1008564)"/>
    <x v="48"/>
    <d v="1899-12-30T08:09:49"/>
    <d v="1899-12-30T04:51:12"/>
    <d v="1899-12-30T01:10:09"/>
    <n v="45"/>
    <n v="0.53"/>
  </r>
  <r>
    <s v="Hyd_Manjusha Sinha (1008565)"/>
    <x v="49"/>
    <d v="1899-12-30T08:14:05"/>
    <d v="1899-12-30T05:04:01"/>
    <d v="1899-12-30T01:10:39"/>
    <n v="44"/>
    <n v="0.5464"/>
  </r>
  <r>
    <s v="Hyd_ManjuTiwari Lab (1008566)"/>
    <x v="50"/>
    <d v="1899-12-30T07:41:28"/>
    <d v="1899-12-30T04:26:11"/>
    <d v="1899-12-30T01:10:46"/>
    <n v="43"/>
    <n v="0.52849999999999997"/>
  </r>
  <r>
    <s v="Hyd_Manoj Kumar (1008567)"/>
    <x v="51"/>
    <d v="1899-12-30T08:00:44"/>
    <d v="1899-12-30T04:28:58"/>
    <d v="1899-12-30T01:09:53"/>
    <n v="42"/>
    <n v="0.53280000000000005"/>
  </r>
  <r>
    <s v="Hyd_Manoj Kumar (1008568)"/>
    <x v="51"/>
    <d v="1899-12-30T07:55:23"/>
    <d v="1899-12-30T04:29:51"/>
    <d v="1899-12-30T01:15:59"/>
    <n v="41"/>
    <n v="0.53149999999999997"/>
  </r>
  <r>
    <s v="Hyd_Masroor Adil (1008569)"/>
    <x v="52"/>
    <d v="1899-12-30T08:10:04"/>
    <d v="1899-12-30T05:04:35"/>
    <d v="1899-12-30T01:11:39"/>
    <n v="40"/>
    <n v="0.58950000000000002"/>
  </r>
  <r>
    <s v="Hyd_Meena Zinjare (1008570)"/>
    <x v="53"/>
    <d v="1899-12-30T08:05:29"/>
    <d v="1899-12-30T03:09:32"/>
    <d v="1899-12-30T03:34:45"/>
    <n v="39"/>
    <n v="0.34899999999999998"/>
  </r>
  <r>
    <s v="Hyd_Mehnaz Khan (1008571)"/>
    <x v="54"/>
    <d v="1899-12-30T08:14:51"/>
    <d v="1899-12-30T04:08:21"/>
    <d v="1899-12-30T02:12:24"/>
    <n v="38"/>
    <n v="0.4793"/>
  </r>
  <r>
    <s v="Hyd_Mercy Thampi (1008572)"/>
    <x v="55"/>
    <d v="1899-12-30T05:15:35"/>
    <d v="1899-12-30T03:38:44"/>
    <d v="1899-12-30T00:15:35"/>
    <n v="37"/>
    <n v="0.62760000000000005"/>
  </r>
  <r>
    <s v="Hyd_Miny Mole (1008573)"/>
    <x v="56"/>
    <d v="1899-12-30T08:12:10"/>
    <d v="1899-12-30T04:14:06"/>
    <d v="1899-12-30T02:13:07"/>
    <n v="36"/>
    <n v="0.47560000000000002"/>
  </r>
  <r>
    <s v="Hyd_Mohd Rafi (1008574)"/>
    <x v="57"/>
    <d v="1899-12-30T08:00:32"/>
    <d v="1899-12-30T03:55:15"/>
    <d v="1899-12-30T02:38:29"/>
    <n v="35"/>
    <n v="0.43640000000000001"/>
  </r>
  <r>
    <s v="Hyd_Mubeen Khan (1008575)"/>
    <x v="58"/>
    <d v="1899-12-30T07:55:35"/>
    <d v="1899-12-30T03:50:43"/>
    <d v="1899-12-30T02:24:38"/>
    <n v="34"/>
    <n v="0.45129999999999998"/>
  </r>
  <r>
    <s v="Hyd_Mukesh Nagar (1008576)"/>
    <x v="59"/>
    <d v="1899-12-30T05:01:07"/>
    <d v="1899-12-30T03:13:40"/>
    <d v="1899-12-30T00:29:34"/>
    <n v="33"/>
    <n v="0.61240000000000006"/>
  </r>
  <r>
    <s v="Hyd_Nandu Kumar (1008577)"/>
    <x v="60"/>
    <d v="1899-12-30T08:21:39"/>
    <d v="1899-12-30T04:43:39"/>
    <d v="1899-12-30T01:14:03"/>
    <n v="32"/>
    <n v="0.51759999999999995"/>
  </r>
  <r>
    <s v="Hyd_Narayan Singh (1008578)"/>
    <x v="61"/>
    <d v="1899-12-30T08:19:29"/>
    <d v="1899-12-30T04:54:19"/>
    <d v="1899-12-30T01:08:27"/>
    <n v="31"/>
    <n v="0.55549999999999999"/>
  </r>
  <r>
    <s v="Hyd_Neeraj Saxena (1008579)"/>
    <x v="62"/>
    <d v="1899-12-30T08:21:13"/>
    <d v="1899-12-30T04:36:09"/>
    <d v="1899-12-30T02:15:18"/>
    <n v="30"/>
    <n v="0.45540000000000003"/>
  </r>
  <r>
    <s v="Hyd_Neeru Mehta (1008580)"/>
    <x v="63"/>
    <d v="1899-12-30T08:02:20"/>
    <d v="1899-12-30T04:44:15"/>
    <d v="1899-12-30T01:10:03"/>
    <n v="29"/>
    <n v="0.53449999999999998"/>
  </r>
  <r>
    <s v="Hyd_Nikita Panwalkar (1008581)"/>
    <x v="64"/>
    <d v="1899-12-30T08:16:46"/>
    <d v="1899-12-30T04:58:45"/>
    <d v="1899-12-30T01:37:25"/>
    <n v="28"/>
    <n v="0.55910000000000004"/>
  </r>
  <r>
    <s v="Hyd_Nitin Bhatia (1008582)"/>
    <x v="65"/>
    <d v="1899-12-30T08:00:37"/>
    <d v="1899-12-30T04:44:56"/>
    <d v="1899-12-30T01:09:53"/>
    <n v="29"/>
    <n v="0.56850000000000001"/>
  </r>
  <r>
    <s v="Hyd_Om Prakash (1008583)"/>
    <x v="66"/>
    <d v="1899-12-30T07:55:44"/>
    <d v="1899-12-30T04:26:21"/>
    <d v="1899-12-30T01:36:03"/>
    <n v="30"/>
    <n v="0.47510000000000002"/>
  </r>
  <r>
    <s v="Hyd_Omprakash O (1008584)"/>
    <x v="67"/>
    <d v="1899-12-30T08:09:43"/>
    <d v="1899-12-30T04:02:05"/>
    <d v="1899-12-30T02:11:54"/>
    <n v="31"/>
    <n v="0.4758"/>
  </r>
  <r>
    <s v="Hyd_Owais Mohd (1008585)"/>
    <x v="68"/>
    <d v="1899-12-30T08:01:11"/>
    <d v="1899-12-30T04:02:50"/>
    <d v="1899-12-30T02:26:26"/>
    <n v="32"/>
    <n v="0.46899999999999997"/>
  </r>
  <r>
    <s v="Hyd_Pankaj Shelkey (1008586)"/>
    <x v="69"/>
    <d v="1899-12-30T08:15:54"/>
    <d v="1899-12-30T04:26:54"/>
    <d v="1899-12-30T01:55:26"/>
    <n v="33"/>
    <n v="0.51359999999999995"/>
  </r>
  <r>
    <s v="Hyd_Partha Sarathi (1008587)"/>
    <x v="70"/>
    <d v="1899-12-30T08:32:22"/>
    <d v="1899-12-30T05:11:39"/>
    <d v="1899-12-30T01:38:42"/>
    <n v="34"/>
    <n v="0.52510000000000001"/>
  </r>
  <r>
    <s v="Hyd_Prabha Desikan (1008588)"/>
    <x v="71"/>
    <d v="1899-12-30T08:21:49"/>
    <d v="1899-12-30T03:03:51"/>
    <d v="1899-12-30T04:11:26"/>
    <n v="35"/>
    <n v="0.34860000000000002"/>
  </r>
  <r>
    <s v="Hyd_Pramod Tiwari (1008589)"/>
    <x v="72"/>
    <d v="1899-12-30T08:25:20"/>
    <d v="1899-12-30T02:54:03"/>
    <d v="1899-12-30T04:21:06"/>
    <n v="36"/>
    <n v="0.31469999999999998"/>
  </r>
  <r>
    <s v="Hyd_Prasannakumari S (1008590)"/>
    <x v="73"/>
    <d v="1899-12-30T08:08:02"/>
    <d v="1899-12-30T05:10:46"/>
    <d v="1899-12-30T01:10:25"/>
    <n v="37"/>
    <n v="0.55600000000000005"/>
  </r>
  <r>
    <s v="Hyd_Praveen Kumar (1008591)"/>
    <x v="74"/>
    <d v="1899-12-30T08:19:20"/>
    <d v="1899-12-30T04:08:46"/>
    <d v="1899-12-30T02:37:28"/>
    <n v="38"/>
    <n v="0.4622"/>
  </r>
  <r>
    <s v="Hyd_Rachel Mathew (1008592)"/>
    <x v="75"/>
    <d v="1899-12-30T08:25:36"/>
    <d v="1899-12-30T03:40:53"/>
    <d v="1899-12-30T03:20:01"/>
    <n v="39"/>
    <n v="0.39079999999999998"/>
  </r>
  <r>
    <s v="Hyd_Rachita Anupam (1008593)"/>
    <x v="76"/>
    <d v="1899-12-30T08:16:26"/>
    <d v="1899-12-30T05:16:03"/>
    <d v="1899-12-30T01:08:32"/>
    <n v="40"/>
    <n v="0.54710000000000003"/>
  </r>
  <r>
    <s v="Hyd_Rachna Chauhan (1008594)"/>
    <x v="77"/>
    <d v="1899-12-30T07:36:07"/>
    <d v="1899-12-30T05:07:23"/>
    <d v="1899-12-30T00:30:20"/>
    <n v="41"/>
    <n v="0.61460000000000004"/>
  </r>
  <r>
    <s v="Hyd_Raj Kumar (1008595)"/>
    <x v="78"/>
    <d v="1899-12-30T08:09:57"/>
    <d v="1899-12-30T05:03:51"/>
    <d v="1899-12-30T01:08:44"/>
    <n v="42"/>
    <n v="0.5534"/>
  </r>
  <r>
    <s v="Hyd_Rajeev Garg (1008596)"/>
    <x v="79"/>
    <d v="1899-12-30T08:04:00"/>
    <d v="1899-12-30T05:05:29"/>
    <d v="1899-12-30T01:08:24"/>
    <n v="43"/>
    <n v="0.61140000000000005"/>
  </r>
  <r>
    <s v="Hyd_Rajeev Kumar (1008597)"/>
    <x v="80"/>
    <d v="1899-12-30T07:59:43"/>
    <d v="1899-12-30T04:28:51"/>
    <d v="1899-12-30T01:37:06"/>
    <n v="44"/>
    <n v="0.51219999999999999"/>
  </r>
  <r>
    <s v="Hyd_Rajendra Gupta (1008598)"/>
    <x v="81"/>
    <d v="1899-12-30T08:25:57"/>
    <d v="1899-12-30T04:58:12"/>
    <d v="1899-12-30T01:19:08"/>
    <n v="45"/>
    <n v="0.56030000000000002"/>
  </r>
  <r>
    <s v="Hyd_Rajendra Kumar (1008599)"/>
    <x v="82"/>
    <d v="1899-12-30T08:14:44"/>
    <d v="1899-12-30T03:55:22"/>
    <d v="1899-12-30T02:34:16"/>
    <n v="46"/>
    <n v="0.4289"/>
  </r>
  <r>
    <s v="Hyd_Rajendra Prasad (1008600)"/>
    <x v="83"/>
    <d v="1899-12-30T08:22:34"/>
    <d v="1899-12-30T00:48:33"/>
    <d v="1899-12-30T07:08:19"/>
    <n v="47"/>
    <n v="9.4500000000000001E-2"/>
  </r>
  <r>
    <s v="Hyd_Rajesh Kumar (1008601)"/>
    <x v="84"/>
    <d v="1899-12-30T08:00:39"/>
    <d v="1899-12-30T05:11:50"/>
    <d v="1899-12-30T01:12:04"/>
    <n v="48"/>
    <n v="0.61019999999999996"/>
  </r>
  <r>
    <s v="Hyd_Rajesh Kumar (1008602)"/>
    <x v="84"/>
    <d v="1899-12-30T08:17:39"/>
    <d v="1899-12-30T04:49:40"/>
    <d v="1899-12-30T02:06:35"/>
    <n v="49"/>
    <n v="0.51259999999999994"/>
  </r>
  <r>
    <s v="Hyd_Rajesh Sharma (1008603)"/>
    <x v="85"/>
    <d v="1899-12-30T05:04:31"/>
    <d v="1899-12-30T03:24:21"/>
    <d v="1899-12-30T00:24:27"/>
    <n v="50"/>
    <n v="0.62429999999999997"/>
  </r>
  <r>
    <s v="Hyd_Raji Abraham (1008604)"/>
    <x v="86"/>
    <d v="1899-12-30T08:10:41"/>
    <d v="1899-12-30T04:44:35"/>
    <d v="1899-12-30T01:09:28"/>
    <n v="51"/>
    <n v="0.54369999999999996"/>
  </r>
  <r>
    <s v="Hyd_Rajshree Dhabekar (1008605)"/>
    <x v="87"/>
    <d v="1899-12-30T08:15:13"/>
    <d v="1899-12-30T00:00:00"/>
    <d v="1899-12-30T08:15:09"/>
    <n v="52"/>
    <n v="0"/>
  </r>
  <r>
    <s v="Hyd_Rakhi Jodhani (1008606)"/>
    <x v="88"/>
    <d v="1899-12-30T08:02:52"/>
    <d v="1899-12-30T01:13:06"/>
    <d v="1899-12-30T06:39:44"/>
    <n v="53"/>
    <n v="0.14430000000000001"/>
  </r>
  <r>
    <s v="Hyd_Ramji Prasad (1008607)"/>
    <x v="89"/>
    <d v="1899-12-30T08:19:26"/>
    <d v="1899-12-30T04:53:04"/>
    <d v="1899-12-30T01:13:46"/>
    <n v="54"/>
    <n v="0.55259999999999998"/>
  </r>
  <r>
    <s v="Del_Rashid (1008608)"/>
    <x v="90"/>
    <d v="1899-12-30T08:02:10"/>
    <d v="1899-12-30T01:36:08"/>
    <d v="1899-12-30T05:45:13"/>
    <n v="55"/>
    <n v="0.18940000000000001"/>
  </r>
  <r>
    <s v="Del_Rashmi Gajbe (1008609)"/>
    <x v="91"/>
    <d v="1899-12-30T08:20:42"/>
    <d v="1899-12-30T04:16:57"/>
    <d v="1899-12-30T02:04:58"/>
    <n v="56"/>
    <n v="0.4708"/>
  </r>
  <r>
    <s v="Del_Ravi Kumar (1008610)"/>
    <x v="92"/>
    <d v="1899-12-30T08:00:44"/>
    <d v="1899-12-30T04:47:03"/>
    <d v="1899-12-30T01:11:14"/>
    <n v="57"/>
    <n v="0.53859999999999997"/>
  </r>
  <r>
    <s v="Del_Ravinder Kaur (1008611)"/>
    <x v="93"/>
    <d v="1899-12-30T08:01:53"/>
    <d v="1899-12-30T04:38:57"/>
    <d v="1899-12-30T01:09:28"/>
    <n v="58"/>
    <n v="0.53290000000000004"/>
  </r>
  <r>
    <s v="Del_Rekha Agarwal (1008612)"/>
    <x v="94"/>
    <d v="1899-12-30T05:53:52"/>
    <d v="1899-12-30T02:53:07"/>
    <d v="1899-12-30T02:41:42"/>
    <n v="59"/>
    <n v="0.41310000000000002"/>
  </r>
  <r>
    <s v="Del_Rekha Gupta (1008613)"/>
    <x v="95"/>
    <d v="1899-12-30T08:16:02"/>
    <d v="1899-12-30T04:22:52"/>
    <d v="1899-12-30T01:50:37"/>
    <n v="60"/>
    <n v="0.50480000000000003"/>
  </r>
  <r>
    <s v="Del_Rekha Jain (1008614)"/>
    <x v="96"/>
    <d v="1899-12-30T08:15:42"/>
    <d v="1899-12-30T04:25:29"/>
    <d v="1899-12-30T01:36:57"/>
    <n v="61"/>
    <n v="0.52390000000000003"/>
  </r>
  <r>
    <s v="Del_Renu Pratap (1008615)"/>
    <x v="97"/>
    <d v="1899-12-30T08:16:30"/>
    <d v="1899-12-30T02:30:29"/>
    <d v="1899-12-30T05:07:55"/>
    <n v="62"/>
    <n v="0.25440000000000002"/>
  </r>
  <r>
    <s v="Del_Ritu Bhatnagar (1008616)"/>
    <x v="98"/>
    <d v="1899-12-30T08:01:48"/>
    <d v="1899-12-30T04:52:13"/>
    <d v="1899-12-30T01:13:20"/>
    <n v="63"/>
    <n v="0.55520000000000003"/>
  </r>
  <r>
    <s v="Del_Rohit Nishchal (1008617)"/>
    <x v="99"/>
    <d v="1899-12-30T08:17:09"/>
    <m/>
    <d v="1899-12-30T08:17:00"/>
    <n v="64"/>
    <n v="0"/>
  </r>
  <r>
    <s v="Del_Roli Bhatnagar (1008618)"/>
    <x v="100"/>
    <d v="1899-12-30T08:15:43"/>
    <m/>
    <d v="1899-12-30T02:10:16"/>
    <n v="65"/>
    <n v="0.47710000000000002"/>
  </r>
  <r>
    <s v="Del_Roma Rastogi (1008619)"/>
    <x v="101"/>
    <d v="1899-12-30T08:31:02"/>
    <m/>
    <d v="1899-12-30T00:53:47"/>
    <n v="66"/>
    <n v="0.61919999999999997"/>
  </r>
  <r>
    <s v="Del_Roohi Haider (1008620)"/>
    <x v="102"/>
    <d v="1899-12-30T08:00:11"/>
    <m/>
    <d v="1899-12-30T01:09:24"/>
    <n v="67"/>
    <n v="0.55310000000000004"/>
  </r>
  <r>
    <s v="Del_Sajid Naqvi (1008621)"/>
    <x v="103"/>
    <d v="1899-12-30T08:15:48"/>
    <m/>
    <d v="1899-12-30T01:08:40"/>
    <n v="68"/>
    <n v="0.56200000000000006"/>
  </r>
  <r>
    <s v="Del_Salim (1008622)"/>
    <x v="104"/>
    <d v="1899-12-30T08:15:56"/>
    <m/>
    <d v="1899-12-30T01:59:29"/>
    <n v="69"/>
    <n v="0.48780000000000001"/>
  </r>
  <r>
    <s v="Del_Sanjay Hire (1008623)"/>
    <x v="105"/>
    <d v="1899-12-30T08:15:52"/>
    <m/>
    <d v="1899-12-30T01:09:43"/>
    <n v="70"/>
    <n v="0.55410000000000004"/>
  </r>
  <r>
    <s v="Del_Sanjiv Subherwal (1008624)"/>
    <x v="106"/>
    <d v="1899-12-30T08:02:17"/>
    <m/>
    <d v="1899-12-30T01:10:15"/>
    <n v="71"/>
    <n v="0.58650000000000002"/>
  </r>
  <r>
    <s v="Del_Sanju Ramdas (1008625)"/>
    <x v="107"/>
    <d v="1899-12-30T08:15:58"/>
    <m/>
    <d v="1899-12-30T01:13:56"/>
    <n v="72"/>
    <n v="0.58169999999999999"/>
  </r>
  <r>
    <s v="Del_Santosh Kumar (1008626)"/>
    <x v="108"/>
    <d v="1899-12-30T08:00:32"/>
    <m/>
    <d v="1899-12-30T01:09:48"/>
    <n v="73"/>
    <n v="0.5907"/>
  </r>
  <r>
    <s v="Del_Santosh Kumar (1008627)"/>
    <x v="108"/>
    <d v="1899-12-30T08:17:04"/>
    <m/>
    <d v="1899-12-30T01:10:58"/>
    <n v="74"/>
    <n v="0.58640000000000003"/>
  </r>
  <r>
    <s v="Del_Santosh Kumar (1008628)"/>
    <x v="108"/>
    <d v="1899-12-30T08:02:59"/>
    <m/>
    <d v="1899-12-30T01:12:01"/>
    <n v="75"/>
    <n v="0.54649999999999999"/>
  </r>
  <r>
    <s v="Del_Sapna Sharma (1008629)"/>
    <x v="109"/>
    <d v="1899-12-30T08:04:14"/>
    <m/>
    <d v="1899-12-30T01:32:37"/>
    <n v="76"/>
    <n v="0.53239999999999998"/>
  </r>
  <r>
    <s v="Del_Saroj Parita (1008630)"/>
    <x v="110"/>
    <d v="1899-12-30T08:01:59"/>
    <m/>
    <d v="1899-12-30T01:45:37"/>
    <n v="77"/>
    <n v="0.47020000000000001"/>
  </r>
  <r>
    <s v="Del_Shailaja Kamal (1008631)"/>
    <x v="111"/>
    <d v="1899-12-30T08:09:14"/>
    <m/>
    <d v="1899-12-30T01:08:46"/>
    <n v="78"/>
    <n v="0.54630000000000001"/>
  </r>
  <r>
    <s v="Del_Shailendra Barge (1008632)"/>
    <x v="112"/>
    <d v="1899-12-30T08:17:38"/>
    <m/>
    <d v="1899-12-30T03:43:06"/>
    <n v="79"/>
    <n v="0.38819999999999999"/>
  </r>
  <r>
    <s v="Del_Shankar Attendant (1008633)"/>
    <x v="113"/>
    <d v="1899-12-30T07:57:56"/>
    <m/>
    <d v="1899-12-30T03:15:05"/>
    <n v="80"/>
    <n v="0.40279999999999999"/>
  </r>
  <r>
    <s v="Del_Shashikant Tiwari (1008634)"/>
    <x v="114"/>
    <d v="1899-12-30T08:14:55"/>
    <m/>
    <d v="1899-12-30T01:09:59"/>
    <n v="81"/>
    <n v="0.54349999999999998"/>
  </r>
  <r>
    <s v="Del_Sheeba Joseph (1008635)"/>
    <x v="115"/>
    <d v="1899-12-30T08:30:57"/>
    <m/>
    <d v="1899-12-30T00:55:39"/>
    <n v="82"/>
    <n v="0.28370000000000001"/>
  </r>
  <r>
    <s v="Del_Sheena Joseph (1008636)"/>
    <x v="116"/>
    <d v="1899-12-30T08:49:34"/>
    <m/>
    <d v="1899-12-30T01:41:30"/>
    <n v="83"/>
    <n v="0.56200000000000006"/>
  </r>
  <r>
    <s v="Del_Shephali Jain (1008637)"/>
    <x v="117"/>
    <d v="1899-12-30T08:25:43"/>
    <m/>
    <d v="1899-12-30T03:23:49"/>
    <n v="84"/>
    <n v="0.40329999999999999"/>
  </r>
  <r>
    <s v="Del_Shivji Prasad (1008638)"/>
    <x v="118"/>
    <d v="1899-12-30T08:11:40"/>
    <m/>
    <d v="1899-12-30T02:17:48"/>
    <n v="85"/>
    <n v="0.438"/>
  </r>
  <r>
    <s v="Del_Shubhanjali Joshi (1008639)"/>
    <x v="119"/>
    <d v="1899-12-30T08:17:17"/>
    <m/>
    <d v="1899-12-30T01:19:32"/>
    <n v="86"/>
    <n v="0.55579999999999996"/>
  </r>
  <r>
    <s v="Del_Shyamal Malakar (1008640)"/>
    <x v="120"/>
    <d v="1899-12-30T08:15:36"/>
    <m/>
    <d v="1899-12-30T04:35:37"/>
    <n v="87"/>
    <n v="0.32600000000000001"/>
  </r>
  <r>
    <s v="Del_Sneh Khan (1008641)"/>
    <x v="121"/>
    <d v="1899-12-30T08:09:15"/>
    <m/>
    <d v="1899-12-30T01:09:51"/>
    <n v="88"/>
    <n v="0.57399999999999995"/>
  </r>
  <r>
    <s v="Del_Sonaram Munda (1008642)"/>
    <x v="122"/>
    <d v="1899-12-30T08:00:41"/>
    <m/>
    <d v="1899-12-30T01:57:15"/>
    <n v="89"/>
    <n v="0.4536"/>
  </r>
  <r>
    <s v="Del_Sudama Kumar (1008643)"/>
    <x v="123"/>
    <d v="1899-12-30T08:09:47"/>
    <m/>
    <d v="1899-12-30T04:36:20"/>
    <n v="90"/>
    <n v="0.2969"/>
  </r>
  <r>
    <s v="Del_Sudhir Kumar (1008644)"/>
    <x v="124"/>
    <d v="1899-12-30T08:00:18"/>
    <m/>
    <d v="1899-12-30T01:14:24"/>
    <n v="91"/>
    <n v="0.55730000000000002"/>
  </r>
  <r>
    <s v="Del_Sunil Kumar (1008645)"/>
    <x v="125"/>
    <d v="1899-12-30T08:03:26"/>
    <m/>
    <d v="1899-12-30T03:56:57"/>
    <n v="92"/>
    <n v="0.33279999999999998"/>
  </r>
  <r>
    <s v="Del_Sunil Kumar (1008646)"/>
    <x v="125"/>
    <d v="1899-12-30T08:05:06"/>
    <m/>
    <d v="1899-12-30T02:16:51"/>
    <n v="93"/>
    <n v="0.4723"/>
  </r>
  <r>
    <s v="Del_Sunita Chawla (1008647)"/>
    <x v="126"/>
    <d v="1899-12-30T08:05:25"/>
    <m/>
    <d v="1899-12-30T02:06:43"/>
    <n v="94"/>
    <n v="0.5111"/>
  </r>
  <r>
    <s v="Del_Sunita Madnani (1008648)"/>
    <x v="127"/>
    <d v="1899-12-30T08:14:02"/>
    <m/>
    <d v="1899-12-30T01:08:15"/>
    <n v="95"/>
    <n v="0.58889999999999998"/>
  </r>
  <r>
    <s v="Del_Surendra Kumar (1008649)"/>
    <x v="128"/>
    <d v="1899-12-30T07:29:10"/>
    <m/>
    <d v="1899-12-30T03:46:52"/>
    <n v="96"/>
    <n v="0.34289999999999998"/>
  </r>
  <r>
    <s v="Del_Surendranath Thakur (1008650)"/>
    <x v="129"/>
    <d v="1899-12-30T08:33:53"/>
    <m/>
    <d v="1899-12-30T02:17:05"/>
    <n v="97"/>
    <n v="0.4975"/>
  </r>
  <r>
    <s v="Del_Sushma Khandelwal (1008651)"/>
    <x v="130"/>
    <d v="1899-12-30T08:15:15"/>
    <m/>
    <d v="1899-12-30T01:10:21"/>
    <n v="98"/>
    <n v="0.52429999999999999"/>
  </r>
  <r>
    <s v="Del_Swarnlata Borse (1008652)"/>
    <x v="131"/>
    <d v="1899-12-30T08:19:05"/>
    <m/>
    <d v="1899-12-30T04:32:37"/>
    <n v="99"/>
    <n v="0.31069999999999998"/>
  </r>
  <r>
    <s v="Del_Syed Naved (1008653)"/>
    <x v="132"/>
    <d v="1899-12-30T08:13:39"/>
    <m/>
    <d v="1899-12-30T01:14:44"/>
    <n v="100"/>
    <n v="0.58460000000000001"/>
  </r>
  <r>
    <s v="Del_Syed Saqib (1008654)"/>
    <x v="133"/>
    <d v="1899-12-30T08:24:48"/>
    <m/>
    <d v="1899-12-30T05:03:34"/>
    <n v="101"/>
    <n v="0.31690000000000002"/>
  </r>
  <r>
    <s v="Del_Syed Sohail (1008655)"/>
    <x v="134"/>
    <d v="1899-12-30T08:17:53"/>
    <m/>
    <d v="1899-12-30T01:12:04"/>
    <n v="102"/>
    <n v="0.56379999999999997"/>
  </r>
  <r>
    <s v="Del_System Operator (1008656)"/>
    <x v="135"/>
    <d v="1899-12-30T08:30:54"/>
    <m/>
    <d v="1899-12-30T00:56:05"/>
    <n v="103"/>
    <n v="0.54779999999999995"/>
  </r>
  <r>
    <s v="Del_Tahira Qureshi (1008657)"/>
    <x v="136"/>
    <d v="1899-12-30T08:46:13"/>
    <m/>
    <d v="1899-12-30T04:02:30"/>
    <n v="104"/>
    <n v="0.37969999999999998"/>
  </r>
  <r>
    <s v="Del_Tapas Chakraborty (1008658)"/>
    <x v="137"/>
    <d v="1899-12-30T08:14:56"/>
    <m/>
    <d v="1899-12-30T01:12:11"/>
    <n v="105"/>
    <n v="0.56530000000000002"/>
  </r>
  <r>
    <s v="Del_Tariq Akhlaq (1008659)"/>
    <x v="138"/>
    <d v="1899-12-30T04:59:55"/>
    <m/>
    <d v="1899-12-30T00:15:03"/>
    <n v="106"/>
    <n v="0.60260000000000002"/>
  </r>
  <r>
    <s v="Del_Tasneem Khan (1008660)"/>
    <x v="139"/>
    <d v="1899-12-30T08:33:55"/>
    <m/>
    <d v="1899-12-30T02:16:51"/>
    <n v="107"/>
    <n v="0.4980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54FFE-800C-4E45-8B82-BA8B73C920AC}" name="PivotTable1" cacheId="498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4:B9" firstHeaderRow="1" firstDataRow="1" firstDataCol="1"/>
  <pivotFields count="7">
    <pivotField compact="0" outline="0" showAll="0"/>
    <pivotField name="ROW LABLES" axis="axisRow" compact="0" outline="0" showAll="0" measureFilter="1" sortType="ascending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dataField="1" compact="0" numFmtId="165" outline="0" showAll="0"/>
    <pivotField compact="0" outline="0" showAll="0"/>
    <pivotField compact="0" numFmtId="165" outline="0" showAll="0"/>
    <pivotField compact="0" outline="0" showAll="0"/>
    <pivotField compact="0" numFmtId="9" outline="0" showAll="0"/>
  </pivotFields>
  <rowFields count="1">
    <field x="1"/>
  </rowFields>
  <rowItems count="5">
    <i>
      <x v="14"/>
    </i>
    <i>
      <x v="51"/>
    </i>
    <i>
      <x v="84"/>
    </i>
    <i>
      <x v="108"/>
    </i>
    <i>
      <x v="125"/>
    </i>
  </rowItems>
  <colItems count="1">
    <i/>
  </colItems>
  <dataFields count="1">
    <dataField name="EMPLOYEE TOTAL NUMBER OF WORKING HOURS" fld="2" baseField="0" baseItem="0" numFmtId="165"/>
  </dataFields>
  <formats count="7">
    <format dxfId="18">
      <pivotArea dataOnly="0" labelOnly="1" outline="0" axis="axisValues" fieldPosition="0"/>
    </format>
    <format dxfId="19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21">
      <pivotArea dataOnly="0" labelOnly="1" outline="0" axis="axisValues" fieldPosition="0"/>
    </format>
    <format dxfId="22">
      <pivotArea field="1" type="button" dataOnly="0" labelOnly="1" outline="0" axis="axisRow" fieldPosition="0"/>
    </format>
    <format dxfId="23">
      <pivotArea field="1" type="button" dataOnly="0" labelOnly="1" outline="0" axis="axisRow" fieldPosition="0"/>
    </format>
    <format dxfId="24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</chartFormats>
  <pivotTableStyleInfo name="PivotStyleLight9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10</v>
    <v>1</v>
  </rv>
  <rv s="1">
    <v>13</v>
    <v>24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D4D00F-0C1D-4450-977C-86ACD564F5FD}" name="Table2" displayName="Table2" ref="B63:E79" totalsRowShown="0" headerRowDxfId="17" dataDxfId="16">
  <autoFilter ref="B63:E79" xr:uid="{B3D4D00F-0C1D-4450-977C-86ACD564F5FD}"/>
  <tableColumns count="4">
    <tableColumn id="1" xr3:uid="{2FACE32E-FE81-4798-A403-B295B4084192}" name="Product ID" dataDxfId="15"/>
    <tableColumn id="2" xr3:uid="{9061DB7B-89FE-4313-B6E9-B7335AD6EA06}" name="Product" dataDxfId="14"/>
    <tableColumn id="3" xr3:uid="{79347FA5-C1E8-487D-8A87-9969E3616395}" name="Region" dataDxfId="13"/>
    <tableColumn id="4" xr3:uid="{7599EDE2-1FCC-4782-9AFD-DA40FE675F41}" name="Qty Sold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8CD8B3-6C1F-4E8A-A07E-B4142D66F738}" name="Table3" displayName="Table3" ref="H225:H231" totalsRowShown="0" headerRowDxfId="11" dataDxfId="10">
  <autoFilter ref="H225:H231" xr:uid="{678CD8B3-6C1F-4E8A-A07E-B4142D66F738}"/>
  <tableColumns count="1">
    <tableColumn id="1" xr3:uid="{D58F6C2A-921C-4977-B4C9-69DAC9BF91FC}" name="HARSHA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6A718D-1CD4-4C97-9F2D-B4E80DF76485}" name="Table1" displayName="Table1" ref="B173:G184" totalsRowShown="0" headerRowDxfId="8" dataDxfId="7" tableBorderDxfId="6">
  <autoFilter ref="B173:G184" xr:uid="{036A718D-1CD4-4C97-9F2D-B4E80DF76485}"/>
  <tableColumns count="6">
    <tableColumn id="1" xr3:uid="{2C8B59C4-CB99-4437-A99F-7A62494889CD}" name="Order ID" dataDxfId="5"/>
    <tableColumn id="2" xr3:uid="{0AEF018F-770B-4394-996D-CA182A9DB1EC}" name="Customer Name" dataDxfId="4"/>
    <tableColumn id="3" xr3:uid="{920DB2A3-49D3-48BC-BD49-94BA1FE4F4E0}" name="Cust ID" dataDxfId="3"/>
    <tableColumn id="4" xr3:uid="{43169FE9-1B68-4CAF-8B5A-E7D7D7116E51}" name="Product Name" dataDxfId="2"/>
    <tableColumn id="5" xr3:uid="{70579A75-44D8-467C-A920-41E805B3A9DB}" name="Qty" dataDxfId="1"/>
    <tableColumn id="6" xr3:uid="{906718D1-C0A5-4D76-80DF-42917FAEEE4B}" name="Uni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2409-80D7-4A0E-8287-3C37BB37D90C}">
  <sheetPr>
    <tabColor rgb="FFF595EB"/>
  </sheetPr>
  <dimension ref="A1:N60"/>
  <sheetViews>
    <sheetView workbookViewId="0">
      <selection activeCell="I4" sqref="I4"/>
    </sheetView>
  </sheetViews>
  <sheetFormatPr defaultRowHeight="15"/>
  <cols>
    <col min="1" max="1" width="14.28515625" bestFit="1" customWidth="1"/>
    <col min="2" max="2" width="36.5703125" bestFit="1" customWidth="1"/>
    <col min="3" max="3" width="12.7109375" bestFit="1" customWidth="1"/>
    <col min="4" max="4" width="7.42578125" customWidth="1"/>
    <col min="5" max="5" width="16.85546875" bestFit="1" customWidth="1"/>
    <col min="6" max="6" width="13" bestFit="1" customWidth="1"/>
    <col min="7" max="7" width="10.85546875" bestFit="1" customWidth="1"/>
    <col min="8" max="8" width="31" bestFit="1" customWidth="1"/>
    <col min="9" max="9" width="15.7109375" bestFit="1" customWidth="1"/>
    <col min="10" max="10" width="35.85546875" bestFit="1" customWidth="1"/>
    <col min="11" max="11" width="36.5703125" bestFit="1" customWidth="1"/>
    <col min="12" max="12" width="10.7109375" customWidth="1"/>
    <col min="13" max="13" width="6.28515625" bestFit="1" customWidth="1"/>
    <col min="14" max="14" width="36.5703125" bestFit="1" customWidth="1"/>
    <col min="15" max="15" width="11.140625" bestFit="1" customWidth="1"/>
    <col min="16" max="16" width="10.140625" bestFit="1" customWidth="1"/>
    <col min="17" max="17" width="3.85546875" bestFit="1" customWidth="1"/>
    <col min="18" max="18" width="11.140625" bestFit="1" customWidth="1"/>
    <col min="19" max="19" width="3" bestFit="1" customWidth="1"/>
    <col min="20" max="20" width="11.140625" bestFit="1" customWidth="1"/>
    <col min="21" max="21" width="8.140625" bestFit="1" customWidth="1"/>
    <col min="22" max="22" width="3" bestFit="1" customWidth="1"/>
    <col min="23" max="24" width="11.140625" bestFit="1" customWidth="1"/>
  </cols>
  <sheetData>
    <row r="1" spans="1:11" ht="33">
      <c r="B1" s="53" t="s">
        <v>0</v>
      </c>
    </row>
    <row r="3" spans="1:11">
      <c r="A3" s="67" t="s">
        <v>1</v>
      </c>
      <c r="B3" s="67" t="s">
        <v>2</v>
      </c>
      <c r="C3" s="67" t="s">
        <v>3</v>
      </c>
      <c r="D3" s="67" t="s">
        <v>4</v>
      </c>
      <c r="E3" s="67" t="s">
        <v>5</v>
      </c>
      <c r="F3" s="67" t="s">
        <v>6</v>
      </c>
      <c r="H3" s="69" t="s">
        <v>1</v>
      </c>
      <c r="I3" s="70">
        <v>1004</v>
      </c>
    </row>
    <row r="4" spans="1:11">
      <c r="A4" s="68">
        <v>1001</v>
      </c>
      <c r="B4" s="68" t="s">
        <v>7</v>
      </c>
      <c r="C4" s="68">
        <v>37</v>
      </c>
      <c r="D4" s="68" t="s">
        <v>8</v>
      </c>
      <c r="E4" s="68" t="s">
        <v>9</v>
      </c>
      <c r="F4" s="68">
        <v>149030</v>
      </c>
      <c r="H4" s="69" t="s">
        <v>2</v>
      </c>
      <c r="I4" s="71" t="str">
        <f>VLOOKUP($I$3,$A$3:$F$20,ROW()-2,0)</f>
        <v>Rakesh Sharma</v>
      </c>
    </row>
    <row r="5" spans="1:11" ht="120">
      <c r="A5" s="68">
        <v>1002</v>
      </c>
      <c r="B5" s="68" t="s">
        <v>10</v>
      </c>
      <c r="C5" s="68">
        <v>46</v>
      </c>
      <c r="D5" s="68" t="s">
        <v>11</v>
      </c>
      <c r="E5" s="68" t="s">
        <v>12</v>
      </c>
      <c r="F5" s="68">
        <v>182507</v>
      </c>
      <c r="H5" s="69" t="s">
        <v>3</v>
      </c>
      <c r="I5" s="71">
        <f t="shared" ref="I5:I8" si="0">VLOOKUP($I$3,$A$3:$F$20,ROW()-2,0)</f>
        <v>59</v>
      </c>
      <c r="K5" s="50" t="s">
        <v>13</v>
      </c>
    </row>
    <row r="6" spans="1:11">
      <c r="A6" s="68">
        <v>1003</v>
      </c>
      <c r="B6" s="68" t="s">
        <v>14</v>
      </c>
      <c r="C6" s="68">
        <v>45</v>
      </c>
      <c r="D6" s="68" t="s">
        <v>11</v>
      </c>
      <c r="E6" s="68" t="s">
        <v>15</v>
      </c>
      <c r="F6" s="68">
        <v>100741</v>
      </c>
      <c r="H6" s="69" t="s">
        <v>4</v>
      </c>
      <c r="I6" s="71" t="str">
        <f t="shared" si="0"/>
        <v>Male</v>
      </c>
    </row>
    <row r="7" spans="1:11">
      <c r="A7" s="68">
        <v>1004</v>
      </c>
      <c r="B7" s="68" t="s">
        <v>16</v>
      </c>
      <c r="C7" s="68">
        <v>59</v>
      </c>
      <c r="D7" s="68" t="s">
        <v>8</v>
      </c>
      <c r="E7" s="68" t="s">
        <v>9</v>
      </c>
      <c r="F7" s="68">
        <v>84784</v>
      </c>
      <c r="H7" s="69" t="s">
        <v>5</v>
      </c>
      <c r="I7" s="71" t="str">
        <f t="shared" si="0"/>
        <v>Sales</v>
      </c>
    </row>
    <row r="8" spans="1:11">
      <c r="A8" s="68">
        <v>1005</v>
      </c>
      <c r="B8" s="68" t="s">
        <v>17</v>
      </c>
      <c r="C8" s="68">
        <v>59</v>
      </c>
      <c r="D8" s="68" t="s">
        <v>8</v>
      </c>
      <c r="E8" s="68" t="s">
        <v>18</v>
      </c>
      <c r="F8" s="68">
        <v>184551</v>
      </c>
      <c r="H8" s="69" t="s">
        <v>6</v>
      </c>
      <c r="I8" s="71">
        <f t="shared" si="0"/>
        <v>84784</v>
      </c>
    </row>
    <row r="9" spans="1:11">
      <c r="A9" s="68">
        <v>1006</v>
      </c>
      <c r="B9" s="68" t="s">
        <v>19</v>
      </c>
      <c r="C9" s="68">
        <v>48</v>
      </c>
      <c r="D9" s="68" t="s">
        <v>8</v>
      </c>
      <c r="E9" s="68" t="s">
        <v>20</v>
      </c>
      <c r="F9" s="68">
        <v>127313</v>
      </c>
    </row>
    <row r="10" spans="1:11">
      <c r="A10" s="68">
        <v>1007</v>
      </c>
      <c r="B10" s="68" t="s">
        <v>21</v>
      </c>
      <c r="C10" s="68">
        <v>53</v>
      </c>
      <c r="D10" s="68" t="s">
        <v>11</v>
      </c>
      <c r="E10" s="68" t="s">
        <v>15</v>
      </c>
      <c r="F10" s="68">
        <v>31809</v>
      </c>
    </row>
    <row r="11" spans="1:11">
      <c r="A11" s="68">
        <v>1008</v>
      </c>
      <c r="B11" s="68" t="s">
        <v>22</v>
      </c>
      <c r="C11" s="68">
        <v>59</v>
      </c>
      <c r="D11" s="68" t="s">
        <v>11</v>
      </c>
      <c r="E11" s="68" t="s">
        <v>23</v>
      </c>
      <c r="F11" s="68">
        <v>39769</v>
      </c>
    </row>
    <row r="12" spans="1:11">
      <c r="A12" s="68">
        <v>1009</v>
      </c>
      <c r="B12" s="68" t="s">
        <v>24</v>
      </c>
      <c r="C12" s="68">
        <v>26</v>
      </c>
      <c r="D12" s="68" t="s">
        <v>11</v>
      </c>
      <c r="E12" s="68" t="s">
        <v>12</v>
      </c>
      <c r="F12" s="68">
        <v>75792</v>
      </c>
      <c r="H12" s="72" t="s">
        <v>1</v>
      </c>
      <c r="I12" s="73">
        <v>1012</v>
      </c>
    </row>
    <row r="13" spans="1:11">
      <c r="A13" s="68">
        <v>1010</v>
      </c>
      <c r="B13" s="68" t="s">
        <v>25</v>
      </c>
      <c r="C13" s="68">
        <v>58</v>
      </c>
      <c r="D13" s="68" t="s">
        <v>8</v>
      </c>
      <c r="E13" s="68" t="s">
        <v>9</v>
      </c>
      <c r="F13" s="68">
        <v>148988</v>
      </c>
      <c r="H13" s="72" t="s">
        <v>2</v>
      </c>
      <c r="I13" s="74" t="str">
        <f>VLOOKUP($I$12,$A$3:$F$20,ROW()-11,0)</f>
        <v>Vipin Kumar</v>
      </c>
    </row>
    <row r="14" spans="1:11">
      <c r="A14" s="68">
        <v>1011</v>
      </c>
      <c r="B14" s="68" t="s">
        <v>26</v>
      </c>
      <c r="C14" s="68">
        <v>44</v>
      </c>
      <c r="D14" s="68" t="s">
        <v>11</v>
      </c>
      <c r="E14" s="68" t="s">
        <v>9</v>
      </c>
      <c r="F14" s="68">
        <v>98803</v>
      </c>
      <c r="H14" s="72" t="s">
        <v>3</v>
      </c>
      <c r="I14" s="74">
        <f t="shared" ref="I14:I17" si="1">VLOOKUP($I$12,$A$3:$F$20,ROW()-11,0)</f>
        <v>39</v>
      </c>
    </row>
    <row r="15" spans="1:11">
      <c r="A15" s="68">
        <v>1012</v>
      </c>
      <c r="B15" s="68" t="s">
        <v>27</v>
      </c>
      <c r="C15" s="68">
        <v>39</v>
      </c>
      <c r="D15" s="68" t="s">
        <v>11</v>
      </c>
      <c r="E15" s="68" t="s">
        <v>18</v>
      </c>
      <c r="F15" s="68">
        <v>172266</v>
      </c>
      <c r="H15" s="72" t="s">
        <v>4</v>
      </c>
      <c r="I15" s="74" t="str">
        <f t="shared" si="1"/>
        <v>Female</v>
      </c>
    </row>
    <row r="16" spans="1:11">
      <c r="A16" s="68">
        <v>1013</v>
      </c>
      <c r="B16" s="68" t="s">
        <v>28</v>
      </c>
      <c r="C16" s="68">
        <v>54</v>
      </c>
      <c r="D16" s="68" t="s">
        <v>8</v>
      </c>
      <c r="E16" s="68" t="s">
        <v>29</v>
      </c>
      <c r="F16" s="68">
        <v>136087</v>
      </c>
      <c r="H16" s="72" t="s">
        <v>5</v>
      </c>
      <c r="I16" s="74" t="str">
        <f t="shared" si="1"/>
        <v>Product Manager</v>
      </c>
    </row>
    <row r="17" spans="1:14">
      <c r="A17" s="68">
        <v>1014</v>
      </c>
      <c r="B17" s="68" t="s">
        <v>30</v>
      </c>
      <c r="C17" s="68">
        <v>34</v>
      </c>
      <c r="D17" s="68" t="s">
        <v>11</v>
      </c>
      <c r="E17" s="68" t="s">
        <v>12</v>
      </c>
      <c r="F17" s="68">
        <v>30479</v>
      </c>
      <c r="H17" s="72" t="s">
        <v>6</v>
      </c>
      <c r="I17" s="74">
        <f t="shared" si="1"/>
        <v>172266</v>
      </c>
    </row>
    <row r="18" spans="1:14">
      <c r="A18" s="68">
        <v>1015</v>
      </c>
      <c r="B18" s="68" t="s">
        <v>31</v>
      </c>
      <c r="C18" s="68">
        <v>47</v>
      </c>
      <c r="D18" s="68" t="s">
        <v>11</v>
      </c>
      <c r="E18" s="68" t="s">
        <v>9</v>
      </c>
      <c r="F18" s="68">
        <v>150145</v>
      </c>
    </row>
    <row r="19" spans="1:14">
      <c r="A19" s="68">
        <v>1016</v>
      </c>
      <c r="B19" s="68" t="s">
        <v>32</v>
      </c>
      <c r="C19" s="68">
        <v>35</v>
      </c>
      <c r="D19" s="68" t="s">
        <v>11</v>
      </c>
      <c r="E19" s="68" t="s">
        <v>33</v>
      </c>
      <c r="F19" s="68">
        <v>158214</v>
      </c>
    </row>
    <row r="20" spans="1:14">
      <c r="A20" s="68">
        <v>1017</v>
      </c>
      <c r="B20" s="68" t="s">
        <v>34</v>
      </c>
      <c r="C20" s="68">
        <v>27</v>
      </c>
      <c r="D20" s="68" t="s">
        <v>11</v>
      </c>
      <c r="E20" s="68" t="s">
        <v>35</v>
      </c>
      <c r="F20" s="68">
        <v>121734</v>
      </c>
    </row>
    <row r="23" spans="1:14" ht="65.25">
      <c r="B23" s="53" t="s">
        <v>36</v>
      </c>
    </row>
    <row r="26" spans="1:14">
      <c r="A26" s="77" t="s">
        <v>37</v>
      </c>
      <c r="B26" s="78" t="s">
        <v>38</v>
      </c>
      <c r="C26" s="79" t="s">
        <v>39</v>
      </c>
      <c r="D26" s="79" t="s">
        <v>40</v>
      </c>
      <c r="E26" s="78" t="s">
        <v>41</v>
      </c>
      <c r="H26" s="27" t="s">
        <v>42</v>
      </c>
      <c r="I26" s="27" t="s">
        <v>43</v>
      </c>
    </row>
    <row r="27" spans="1:14">
      <c r="A27" s="80" t="s">
        <v>44</v>
      </c>
      <c r="B27" s="81">
        <v>456</v>
      </c>
      <c r="C27" s="82">
        <v>678</v>
      </c>
      <c r="D27" s="83">
        <v>990</v>
      </c>
      <c r="E27" s="84">
        <v>345</v>
      </c>
      <c r="H27" s="51" t="s">
        <v>39</v>
      </c>
      <c r="I27" s="52" cm="1">
        <f t="array" ref="I27">VLOOKUP(H27, TRANSPOSE($B$26:$E$27),2,0)</f>
        <v>678</v>
      </c>
    </row>
    <row r="28" spans="1:14">
      <c r="A28" s="77"/>
      <c r="B28" s="78"/>
      <c r="C28" s="79"/>
      <c r="D28" s="79"/>
      <c r="E28" s="78"/>
      <c r="H28" s="51" t="s">
        <v>40</v>
      </c>
      <c r="I28" s="52" cm="1">
        <f t="array" ref="I28">VLOOKUP(H28, TRANSPOSE($B$26:$E$27),2,0)</f>
        <v>990</v>
      </c>
    </row>
    <row r="29" spans="1:14">
      <c r="H29" s="51" t="s">
        <v>41</v>
      </c>
      <c r="I29" s="52" cm="1">
        <f t="array" ref="I29">VLOOKUP(H29, TRANSPOSE($B$26:$E$27),2,0)</f>
        <v>345</v>
      </c>
    </row>
    <row r="30" spans="1:14" ht="29.25" customHeight="1"/>
    <row r="31" spans="1:14" ht="90">
      <c r="A31" s="54" t="s">
        <v>45</v>
      </c>
      <c r="B31" s="55" t="s">
        <v>46</v>
      </c>
      <c r="C31" s="55" t="s">
        <v>47</v>
      </c>
      <c r="D31" s="56" t="s">
        <v>48</v>
      </c>
      <c r="E31" s="55" t="s">
        <v>49</v>
      </c>
      <c r="H31" s="54" t="s">
        <v>45</v>
      </c>
      <c r="I31" s="55" t="s">
        <v>46</v>
      </c>
      <c r="J31" s="55" t="s">
        <v>47</v>
      </c>
      <c r="K31" s="56" t="s">
        <v>48</v>
      </c>
      <c r="L31" s="55" t="s">
        <v>49</v>
      </c>
      <c r="N31" s="59" t="s">
        <v>50</v>
      </c>
    </row>
    <row r="32" spans="1:14" ht="57.75">
      <c r="A32" s="57" t="s">
        <v>51</v>
      </c>
      <c r="B32" s="57">
        <v>35</v>
      </c>
      <c r="C32" s="57">
        <v>22</v>
      </c>
      <c r="D32" s="57">
        <v>78</v>
      </c>
      <c r="E32" s="57">
        <v>45</v>
      </c>
      <c r="H32" s="57" t="s">
        <v>52</v>
      </c>
      <c r="I32" s="58" cm="1">
        <f t="array" ref="I32:L32">VLOOKUP(H32,$A$31:$E$37,{2,3,4,5},0)</f>
        <v>67</v>
      </c>
      <c r="J32" s="58">
        <v>33</v>
      </c>
      <c r="K32" s="58">
        <v>96</v>
      </c>
      <c r="L32" s="58">
        <v>55</v>
      </c>
      <c r="N32" s="60" t="s">
        <v>53</v>
      </c>
    </row>
    <row r="33" spans="1:14">
      <c r="A33" s="57" t="s">
        <v>52</v>
      </c>
      <c r="B33" s="57">
        <v>67</v>
      </c>
      <c r="C33" s="57">
        <v>33</v>
      </c>
      <c r="D33" s="57">
        <v>96</v>
      </c>
      <c r="E33" s="57">
        <v>55</v>
      </c>
      <c r="H33" s="57" t="s">
        <v>54</v>
      </c>
      <c r="I33" s="58" cm="1">
        <f t="array" ref="I33:L33">VLOOKUP(H33,$A$31:$E$37,{2,3,4,5},0)</f>
        <v>99</v>
      </c>
      <c r="J33" s="58">
        <v>23</v>
      </c>
      <c r="K33" s="58">
        <v>94</v>
      </c>
      <c r="L33" s="58">
        <v>33</v>
      </c>
    </row>
    <row r="34" spans="1:14">
      <c r="A34" s="57" t="s">
        <v>55</v>
      </c>
      <c r="B34" s="57">
        <v>89</v>
      </c>
      <c r="C34" s="57">
        <v>45</v>
      </c>
      <c r="D34" s="57">
        <v>75</v>
      </c>
      <c r="E34" s="57">
        <v>66</v>
      </c>
      <c r="H34" s="57" t="s">
        <v>55</v>
      </c>
      <c r="I34" s="58" cm="1">
        <f t="array" ref="I34:L34">VLOOKUP(H34,$A$31:$E$37,{2,3,4,5},0)</f>
        <v>89</v>
      </c>
      <c r="J34" s="58">
        <v>45</v>
      </c>
      <c r="K34" s="58">
        <v>75</v>
      </c>
      <c r="L34" s="58">
        <v>66</v>
      </c>
    </row>
    <row r="35" spans="1:14">
      <c r="A35" s="57" t="s">
        <v>54</v>
      </c>
      <c r="B35" s="57">
        <v>99</v>
      </c>
      <c r="C35" s="57">
        <v>23</v>
      </c>
      <c r="D35" s="57">
        <v>94</v>
      </c>
      <c r="E35" s="57">
        <v>33</v>
      </c>
    </row>
    <row r="36" spans="1:14">
      <c r="A36" s="57" t="s">
        <v>56</v>
      </c>
      <c r="B36" s="57">
        <v>55</v>
      </c>
      <c r="C36" s="57">
        <v>96</v>
      </c>
      <c r="D36" s="57">
        <v>65</v>
      </c>
      <c r="E36" s="57">
        <v>22</v>
      </c>
    </row>
    <row r="37" spans="1:14" ht="24.75" customHeight="1">
      <c r="A37" s="57" t="s">
        <v>57</v>
      </c>
      <c r="B37" s="57">
        <v>66</v>
      </c>
      <c r="C37" s="57">
        <v>89</v>
      </c>
      <c r="D37" s="57">
        <v>23</v>
      </c>
      <c r="E37" s="57">
        <v>11</v>
      </c>
      <c r="H37" s="54" t="s">
        <v>45</v>
      </c>
      <c r="I37" s="55" t="s">
        <v>46</v>
      </c>
      <c r="J37" s="55" t="s">
        <v>47</v>
      </c>
      <c r="K37" s="56" t="s">
        <v>48</v>
      </c>
      <c r="L37" s="55" t="s">
        <v>49</v>
      </c>
    </row>
    <row r="38" spans="1:14" ht="54" customHeight="1">
      <c r="H38" s="85" t="s">
        <v>52</v>
      </c>
      <c r="I38" s="86">
        <f>VLOOKUP($H38,$A$31:$E$37,COLUMNS($A$31:B31),0)</f>
        <v>67</v>
      </c>
      <c r="J38" s="86">
        <f>VLOOKUP($H$38,$A$31:$E$37,COLUMNS($A$31:C31),0)</f>
        <v>33</v>
      </c>
      <c r="K38" s="86">
        <f>VLOOKUP($H$38,$A$31:$E$37,COLUMNS($A$31:D31),0)</f>
        <v>96</v>
      </c>
      <c r="L38" s="86">
        <f>VLOOKUP($H$38,$A$31:$E$37,COLUMNS($A$31:E31),0)</f>
        <v>55</v>
      </c>
      <c r="N38" s="59" t="s">
        <v>58</v>
      </c>
    </row>
    <row r="39" spans="1:14" ht="72.75">
      <c r="H39" s="85" t="s">
        <v>54</v>
      </c>
      <c r="I39" s="86">
        <f>VLOOKUP($H39,$A$31:$E$37,COLUMNS($A$31:B32),0)</f>
        <v>99</v>
      </c>
      <c r="J39" s="86">
        <f>VLOOKUP($H39,$A$31:$E$37,COLUMNS($A$31:C32),0)</f>
        <v>23</v>
      </c>
      <c r="K39" s="86">
        <f>VLOOKUP($H39,$A$31:$E$37,COLUMNS($A$31:D32),0)</f>
        <v>94</v>
      </c>
      <c r="L39" s="86">
        <f>VLOOKUP($H39,$A$31:$E$37,COLUMNS($A$31:E32),0)</f>
        <v>33</v>
      </c>
      <c r="N39" s="61" t="s">
        <v>59</v>
      </c>
    </row>
    <row r="40" spans="1:14">
      <c r="H40" s="85" t="s">
        <v>55</v>
      </c>
      <c r="I40" s="86">
        <f>VLOOKUP($H40,$A$31:$E$37,COLUMNS($A$31:B33),0)</f>
        <v>89</v>
      </c>
      <c r="J40" s="86">
        <f>VLOOKUP($H40,$A$31:$E$37,COLUMNS($A$31:C33),0)</f>
        <v>45</v>
      </c>
      <c r="K40" s="86">
        <f>VLOOKUP($H40,$A$31:$E$37,COLUMNS($A$31:D33),0)</f>
        <v>75</v>
      </c>
      <c r="L40" s="86">
        <f>VLOOKUP($H40,$A$31:$E$37,COLUMNS($A$31:E33),0)</f>
        <v>66</v>
      </c>
    </row>
    <row r="41" spans="1:14">
      <c r="H41" s="57"/>
    </row>
    <row r="42" spans="1:14">
      <c r="H42" s="57"/>
    </row>
    <row r="43" spans="1:14">
      <c r="H43" s="57"/>
    </row>
    <row r="44" spans="1:14" ht="26.25">
      <c r="B44" s="64" t="s">
        <v>60</v>
      </c>
      <c r="H44" s="57"/>
    </row>
    <row r="45" spans="1:14">
      <c r="A45" s="65" t="s">
        <v>61</v>
      </c>
      <c r="B45" s="65" t="s">
        <v>62</v>
      </c>
      <c r="C45" s="65" t="s">
        <v>63</v>
      </c>
      <c r="D45" s="65" t="s">
        <v>44</v>
      </c>
    </row>
    <row r="46" spans="1:14">
      <c r="A46" s="66">
        <v>101</v>
      </c>
      <c r="B46" s="66" t="s">
        <v>64</v>
      </c>
      <c r="C46" s="66" t="s">
        <v>65</v>
      </c>
      <c r="D46" s="66">
        <v>25000</v>
      </c>
    </row>
    <row r="47" spans="1:14">
      <c r="A47" s="66">
        <v>102</v>
      </c>
      <c r="B47" s="66" t="s">
        <v>66</v>
      </c>
      <c r="C47" s="66" t="s">
        <v>67</v>
      </c>
      <c r="D47" s="66">
        <v>30000</v>
      </c>
    </row>
    <row r="48" spans="1:14">
      <c r="A48" s="66">
        <v>103</v>
      </c>
      <c r="B48" s="66" t="s">
        <v>68</v>
      </c>
      <c r="C48" s="66" t="s">
        <v>69</v>
      </c>
      <c r="D48" s="66">
        <v>45000</v>
      </c>
    </row>
    <row r="49" spans="1:11">
      <c r="A49" s="66">
        <v>104</v>
      </c>
      <c r="B49" s="66" t="s">
        <v>70</v>
      </c>
      <c r="C49" s="66" t="s">
        <v>71</v>
      </c>
      <c r="D49" s="66">
        <v>66666</v>
      </c>
    </row>
    <row r="50" spans="1:11">
      <c r="A50" s="66">
        <v>105</v>
      </c>
      <c r="B50" s="66" t="s">
        <v>72</v>
      </c>
      <c r="C50" s="66" t="s">
        <v>71</v>
      </c>
      <c r="D50" s="66">
        <v>777777</v>
      </c>
    </row>
    <row r="51" spans="1:11">
      <c r="A51" s="66">
        <v>106</v>
      </c>
      <c r="B51" s="66" t="s">
        <v>73</v>
      </c>
      <c r="C51" s="66" t="s">
        <v>74</v>
      </c>
      <c r="D51" s="66">
        <v>67899</v>
      </c>
    </row>
    <row r="53" spans="1:11" ht="26.25">
      <c r="B53" s="64" t="s">
        <v>75</v>
      </c>
      <c r="F53" s="75"/>
      <c r="G53" s="75"/>
      <c r="H53" s="76" t="s">
        <v>76</v>
      </c>
      <c r="I53" s="75"/>
      <c r="J53" s="75"/>
      <c r="K53" s="75"/>
    </row>
    <row r="54" spans="1:11">
      <c r="A54" s="65" t="s">
        <v>62</v>
      </c>
      <c r="B54" s="65" t="s">
        <v>77</v>
      </c>
      <c r="C54" s="65" t="s">
        <v>78</v>
      </c>
      <c r="F54" s="65" t="s">
        <v>61</v>
      </c>
      <c r="G54" s="65" t="s">
        <v>62</v>
      </c>
      <c r="H54" s="65" t="s">
        <v>63</v>
      </c>
      <c r="I54" s="65" t="s">
        <v>44</v>
      </c>
      <c r="J54" s="65" t="s">
        <v>77</v>
      </c>
      <c r="K54" s="65" t="s">
        <v>78</v>
      </c>
    </row>
    <row r="55" spans="1:11">
      <c r="A55" s="66" t="s">
        <v>64</v>
      </c>
      <c r="B55" s="66" t="s">
        <v>79</v>
      </c>
      <c r="C55" s="66" t="s">
        <v>80</v>
      </c>
      <c r="F55" s="66">
        <v>101</v>
      </c>
      <c r="G55" s="66" t="str" cm="1">
        <f t="array" ref="G55:I55">VLOOKUP(F55,A45:D51,{2,3,4},0)</f>
        <v>HARSHA</v>
      </c>
      <c r="H55" s="66" t="str">
        <v>IT</v>
      </c>
      <c r="I55" s="66">
        <v>25000</v>
      </c>
      <c r="J55" s="66" t="str" cm="1">
        <f t="array" ref="J55:K55">VLOOKUP(VLOOKUP(F55,A45:D51,2,0),A54:C60,{2,3},0)</f>
        <v>23 DAYS</v>
      </c>
      <c r="K55" s="66" t="str">
        <v>3DAYS</v>
      </c>
    </row>
    <row r="56" spans="1:11">
      <c r="A56" s="66" t="s">
        <v>66</v>
      </c>
      <c r="B56" s="66" t="s">
        <v>81</v>
      </c>
      <c r="C56" s="66" t="s">
        <v>82</v>
      </c>
    </row>
    <row r="57" spans="1:11">
      <c r="A57" s="66" t="s">
        <v>68</v>
      </c>
      <c r="B57" s="66" t="s">
        <v>83</v>
      </c>
      <c r="C57" s="66" t="s">
        <v>80</v>
      </c>
    </row>
    <row r="58" spans="1:11">
      <c r="A58" s="66" t="s">
        <v>70</v>
      </c>
      <c r="B58" s="66" t="s">
        <v>81</v>
      </c>
      <c r="C58" s="66" t="s">
        <v>82</v>
      </c>
    </row>
    <row r="59" spans="1:11">
      <c r="A59" s="66" t="s">
        <v>72</v>
      </c>
      <c r="B59" s="66" t="s">
        <v>84</v>
      </c>
      <c r="C59" s="66" t="s">
        <v>80</v>
      </c>
    </row>
    <row r="60" spans="1:11">
      <c r="A60" s="66" t="s">
        <v>73</v>
      </c>
      <c r="B60" s="66" t="s">
        <v>81</v>
      </c>
      <c r="C60" s="66" t="s">
        <v>82</v>
      </c>
    </row>
  </sheetData>
  <sheetProtection algorithmName="SHA-512" hashValue="Chd7t6dWHLmn8yg+IzkRFeC0P+U1Em2Dp5H2g/ZdF8clkWyglGB1ERPZQ6zWDJSxulLzUtm/MK6rOu6ihg8lUA==" saltValue="SVlnuXAEhU1/f2Eolk4etA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8650-041E-4F07-B13B-FCE4B356BE30}">
  <dimension ref="A1:C5"/>
  <sheetViews>
    <sheetView tabSelected="1" workbookViewId="0">
      <selection activeCell="C5" sqref="C5"/>
    </sheetView>
  </sheetViews>
  <sheetFormatPr defaultRowHeight="15"/>
  <cols>
    <col min="1" max="1" width="9.5703125" bestFit="1" customWidth="1"/>
    <col min="3" max="3" width="13.7109375" bestFit="1" customWidth="1"/>
  </cols>
  <sheetData>
    <row r="1" spans="1:3">
      <c r="A1" t="s">
        <v>85</v>
      </c>
      <c r="B1" t="s">
        <v>86</v>
      </c>
      <c r="C1" t="s">
        <v>87</v>
      </c>
    </row>
    <row r="2" spans="1:3">
      <c r="A2" t="s">
        <v>64</v>
      </c>
      <c r="B2">
        <v>89</v>
      </c>
      <c r="C2" t="s">
        <v>88</v>
      </c>
    </row>
    <row r="3" spans="1:3">
      <c r="A3" t="s">
        <v>66</v>
      </c>
      <c r="B3">
        <v>87</v>
      </c>
      <c r="C3" t="s">
        <v>89</v>
      </c>
    </row>
    <row r="4" spans="1:3">
      <c r="A4" t="s">
        <v>90</v>
      </c>
      <c r="B4">
        <v>77</v>
      </c>
      <c r="C4" t="s">
        <v>91</v>
      </c>
    </row>
    <row r="5" spans="1:3">
      <c r="A5" t="s">
        <v>68</v>
      </c>
      <c r="B5">
        <v>20</v>
      </c>
      <c r="C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23"/>
  <sheetViews>
    <sheetView topLeftCell="F12" workbookViewId="0">
      <selection activeCell="F12" sqref="F12"/>
    </sheetView>
  </sheetViews>
  <sheetFormatPr defaultRowHeight="15"/>
  <cols>
    <col min="1" max="1" width="22.5703125" bestFit="1" customWidth="1"/>
    <col min="2" max="2" width="9.7109375" bestFit="1" customWidth="1"/>
    <col min="3" max="3" width="24.28515625" bestFit="1" customWidth="1"/>
    <col min="5" max="5" width="28.42578125" bestFit="1" customWidth="1"/>
    <col min="6" max="6" width="15.7109375" customWidth="1"/>
    <col min="7" max="7" width="36.5703125" bestFit="1" customWidth="1"/>
    <col min="8" max="8" width="25.140625" bestFit="1" customWidth="1"/>
    <col min="9" max="9" width="15" customWidth="1"/>
    <col min="10" max="10" width="11.7109375" bestFit="1" customWidth="1"/>
    <col min="11" max="11" width="14" bestFit="1" customWidth="1"/>
    <col min="16" max="16" width="17.42578125" bestFit="1" customWidth="1"/>
    <col min="17" max="17" width="20.85546875" bestFit="1" customWidth="1"/>
  </cols>
  <sheetData>
    <row r="1" spans="1:10" ht="31.5">
      <c r="A1" s="2"/>
      <c r="B1" s="2"/>
      <c r="C1" s="45" t="s">
        <v>92</v>
      </c>
      <c r="D1" s="2"/>
      <c r="E1" s="41" t="s">
        <v>93</v>
      </c>
      <c r="G1" s="46" t="s">
        <v>94</v>
      </c>
    </row>
    <row r="2" spans="1:10" ht="34.5">
      <c r="A2" s="42" t="s">
        <v>95</v>
      </c>
      <c r="B2" t="s">
        <v>96</v>
      </c>
      <c r="C2" t="s">
        <v>85</v>
      </c>
      <c r="D2" t="s">
        <v>97</v>
      </c>
      <c r="G2" t="s">
        <v>96</v>
      </c>
      <c r="H2" t="s">
        <v>97</v>
      </c>
    </row>
    <row r="3" spans="1:10">
      <c r="B3" t="s">
        <v>98</v>
      </c>
      <c r="C3" t="s">
        <v>64</v>
      </c>
      <c r="D3">
        <f>VLOOKUP(B3,G2:H6,2,0)</f>
        <v>65000</v>
      </c>
      <c r="G3" t="s">
        <v>98</v>
      </c>
      <c r="H3">
        <v>65000</v>
      </c>
    </row>
    <row r="4" spans="1:10">
      <c r="B4" t="s">
        <v>99</v>
      </c>
      <c r="C4" t="s">
        <v>68</v>
      </c>
      <c r="D4">
        <f t="shared" ref="D4:D6" si="0">VLOOKUP(B4,G3:H7,2,0)</f>
        <v>64000</v>
      </c>
      <c r="G4" t="s">
        <v>99</v>
      </c>
      <c r="H4">
        <v>64000</v>
      </c>
    </row>
    <row r="5" spans="1:10">
      <c r="B5" t="s">
        <v>100</v>
      </c>
      <c r="C5" t="s">
        <v>70</v>
      </c>
      <c r="D5">
        <f t="shared" si="0"/>
        <v>70000</v>
      </c>
      <c r="G5" t="s">
        <v>100</v>
      </c>
      <c r="H5">
        <v>70000</v>
      </c>
    </row>
    <row r="6" spans="1:10">
      <c r="B6" t="s">
        <v>101</v>
      </c>
      <c r="C6" t="s">
        <v>102</v>
      </c>
      <c r="D6">
        <f t="shared" si="0"/>
        <v>70000</v>
      </c>
      <c r="G6" t="s">
        <v>101</v>
      </c>
      <c r="H6">
        <v>70000</v>
      </c>
    </row>
    <row r="7" spans="1:10">
      <c r="G7" s="1"/>
    </row>
    <row r="9" spans="1:10" ht="34.5">
      <c r="A9" s="42" t="s">
        <v>103</v>
      </c>
    </row>
    <row r="10" spans="1:10" ht="98.25">
      <c r="C10" s="11" t="s">
        <v>104</v>
      </c>
      <c r="G10" s="43" t="s">
        <v>105</v>
      </c>
    </row>
    <row r="11" spans="1:10" ht="33"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s="43" t="s">
        <v>111</v>
      </c>
      <c r="H11" s="11" t="s">
        <v>112</v>
      </c>
    </row>
    <row r="12" spans="1:10">
      <c r="B12" t="s">
        <v>113</v>
      </c>
      <c r="C12" t="s">
        <v>114</v>
      </c>
      <c r="D12">
        <v>2</v>
      </c>
      <c r="E12" t="str">
        <f>VLOOKUP(C12,H12:J15,2,0)</f>
        <v>MOBLE</v>
      </c>
      <c r="F12">
        <f>VLOOKUP(C12,H12:J15,3,0)</f>
        <v>12000</v>
      </c>
      <c r="H12" t="s">
        <v>107</v>
      </c>
      <c r="I12" t="s">
        <v>109</v>
      </c>
      <c r="J12" t="s">
        <v>110</v>
      </c>
    </row>
    <row r="13" spans="1:10">
      <c r="B13" t="s">
        <v>115</v>
      </c>
      <c r="C13" t="s">
        <v>116</v>
      </c>
      <c r="D13">
        <v>1</v>
      </c>
      <c r="E13" t="str">
        <f t="shared" ref="E13:E14" si="1">VLOOKUP(C13,H13:J16,2,0)</f>
        <v>HEADPHONE</v>
      </c>
      <c r="F13">
        <f t="shared" ref="F13:F14" si="2">VLOOKUP(C13,H13:J16,3,0)</f>
        <v>2000</v>
      </c>
      <c r="H13" t="s">
        <v>114</v>
      </c>
      <c r="I13" t="s">
        <v>117</v>
      </c>
      <c r="J13">
        <v>12000</v>
      </c>
    </row>
    <row r="14" spans="1:10">
      <c r="B14" t="s">
        <v>118</v>
      </c>
      <c r="C14" t="s">
        <v>119</v>
      </c>
      <c r="D14">
        <v>5</v>
      </c>
      <c r="E14" t="str">
        <f t="shared" si="1"/>
        <v>LAPPY</v>
      </c>
      <c r="F14">
        <f t="shared" si="2"/>
        <v>55000</v>
      </c>
      <c r="H14" t="s">
        <v>116</v>
      </c>
      <c r="I14" t="s">
        <v>120</v>
      </c>
      <c r="J14">
        <v>2000</v>
      </c>
    </row>
    <row r="15" spans="1:10">
      <c r="H15" t="s">
        <v>119</v>
      </c>
      <c r="I15" t="s">
        <v>121</v>
      </c>
      <c r="J15">
        <v>55000</v>
      </c>
    </row>
    <row r="17" spans="1:11" ht="34.5">
      <c r="A17" s="42" t="s">
        <v>122</v>
      </c>
    </row>
    <row r="18" spans="1:11" ht="90">
      <c r="C18" s="11" t="s">
        <v>123</v>
      </c>
      <c r="G18" s="44" t="s">
        <v>124</v>
      </c>
      <c r="H18" s="11" t="s">
        <v>125</v>
      </c>
    </row>
    <row r="19" spans="1:11">
      <c r="B19" s="11" t="s">
        <v>126</v>
      </c>
      <c r="C19" s="11" t="s">
        <v>127</v>
      </c>
      <c r="D19" s="11" t="s">
        <v>128</v>
      </c>
      <c r="E19" s="11" t="s">
        <v>129</v>
      </c>
      <c r="F19" s="11" t="s">
        <v>130</v>
      </c>
      <c r="H19" s="11" t="s">
        <v>126</v>
      </c>
      <c r="I19" s="11" t="s">
        <v>128</v>
      </c>
      <c r="J19" s="11" t="s">
        <v>129</v>
      </c>
      <c r="K19" s="11" t="s">
        <v>130</v>
      </c>
    </row>
    <row r="20" spans="1:11">
      <c r="B20" t="s">
        <v>98</v>
      </c>
      <c r="C20">
        <v>22</v>
      </c>
      <c r="D20" t="str" cm="1">
        <f t="array" ref="D20:F20">_xlfn.XLOOKUP(B20,H:H,I:K)</f>
        <v>Rahul</v>
      </c>
      <c r="E20" t="str">
        <v>IT</v>
      </c>
      <c r="F20">
        <v>50000</v>
      </c>
      <c r="H20" t="s">
        <v>98</v>
      </c>
      <c r="I20" t="s">
        <v>131</v>
      </c>
      <c r="J20" t="s">
        <v>65</v>
      </c>
      <c r="K20">
        <v>50000</v>
      </c>
    </row>
    <row r="21" spans="1:11">
      <c r="B21" t="s">
        <v>132</v>
      </c>
      <c r="C21">
        <v>20</v>
      </c>
      <c r="D21" t="str" cm="1">
        <f t="array" ref="D21:F21">_xlfn.XLOOKUP(B21,H:H,I:K)</f>
        <v>Neha</v>
      </c>
      <c r="E21" t="str">
        <v>HR</v>
      </c>
      <c r="F21">
        <v>42000</v>
      </c>
      <c r="H21" t="s">
        <v>132</v>
      </c>
      <c r="I21" t="s">
        <v>133</v>
      </c>
      <c r="J21" t="s">
        <v>29</v>
      </c>
      <c r="K21">
        <v>42000</v>
      </c>
    </row>
    <row r="22" spans="1:11">
      <c r="B22" t="s">
        <v>134</v>
      </c>
      <c r="C22">
        <v>25</v>
      </c>
      <c r="D22" t="str" cm="1">
        <f t="array" ref="D22:F22">_xlfn.XLOOKUP(B22,H:H,I:K)</f>
        <v>Aman</v>
      </c>
      <c r="E22" t="str">
        <v>Sales</v>
      </c>
      <c r="F22">
        <v>48000</v>
      </c>
      <c r="H22" t="s">
        <v>134</v>
      </c>
      <c r="I22" t="s">
        <v>135</v>
      </c>
      <c r="J22" t="s">
        <v>9</v>
      </c>
      <c r="K22">
        <v>48000</v>
      </c>
    </row>
    <row r="23" spans="1:11">
      <c r="B23" t="s">
        <v>136</v>
      </c>
      <c r="C23">
        <v>18</v>
      </c>
      <c r="D23" t="str" cm="1">
        <f t="array" ref="D23:F23">_xlfn.XLOOKUP(B23,H:H,I:K)</f>
        <v>Riya</v>
      </c>
      <c r="E23" t="str">
        <v>Finance</v>
      </c>
      <c r="F23">
        <v>45000</v>
      </c>
      <c r="H23" t="s">
        <v>136</v>
      </c>
      <c r="I23" t="s">
        <v>137</v>
      </c>
      <c r="J23" t="s">
        <v>12</v>
      </c>
      <c r="K23">
        <v>45000</v>
      </c>
    </row>
  </sheetData>
  <sheetProtection algorithmName="SHA-512" hashValue="aP1yT7uz+Kn3mCZ7w5pIgUPQr+/PuvmbNLGqwmIi4Oq6oESV/mmauaMXDliLGPC7ScL8XUP3qCxB978IeeD5fg==" saltValue="6GXaJrq1OkxNa1HkE1S5iw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CD71-ADDD-4967-ABD8-089DACECB8B3}">
  <sheetPr>
    <tabColor theme="7" tint="0.39997558519241921"/>
  </sheetPr>
  <dimension ref="A1:L11"/>
  <sheetViews>
    <sheetView topLeftCell="A2" workbookViewId="0">
      <selection activeCell="E4" sqref="E4:E6"/>
    </sheetView>
  </sheetViews>
  <sheetFormatPr defaultRowHeight="15"/>
  <cols>
    <col min="2" max="2" width="11.42578125" bestFit="1" customWidth="1"/>
    <col min="4" max="4" width="12" bestFit="1" customWidth="1"/>
    <col min="7" max="7" width="11.42578125" bestFit="1" customWidth="1"/>
    <col min="8" max="8" width="12.42578125" bestFit="1" customWidth="1"/>
    <col min="12" max="12" width="36.5703125" bestFit="1" customWidth="1"/>
  </cols>
  <sheetData>
    <row r="1" spans="1:12">
      <c r="A1" s="21" t="s">
        <v>138</v>
      </c>
      <c r="B1" s="21" t="s">
        <v>139</v>
      </c>
      <c r="C1" s="22"/>
      <c r="D1" s="22"/>
      <c r="E1" s="22"/>
      <c r="F1" s="22"/>
      <c r="G1" s="21" t="s">
        <v>139</v>
      </c>
      <c r="H1" s="21" t="s">
        <v>140</v>
      </c>
      <c r="I1" s="21" t="s">
        <v>141</v>
      </c>
    </row>
    <row r="2" spans="1:12">
      <c r="A2" s="23">
        <v>1</v>
      </c>
      <c r="B2" s="23" t="s">
        <v>142</v>
      </c>
      <c r="C2" s="22"/>
      <c r="D2" s="22"/>
      <c r="E2" s="22"/>
      <c r="F2" s="22"/>
      <c r="G2" s="23" t="s">
        <v>142</v>
      </c>
      <c r="H2" s="23" t="s">
        <v>143</v>
      </c>
      <c r="I2" s="23" t="s">
        <v>144</v>
      </c>
    </row>
    <row r="3" spans="1:12">
      <c r="A3" s="23">
        <v>2</v>
      </c>
      <c r="B3" s="23" t="s">
        <v>145</v>
      </c>
      <c r="C3" s="22"/>
      <c r="D3" s="22"/>
      <c r="E3" s="22"/>
      <c r="F3" s="22"/>
      <c r="G3" s="23" t="s">
        <v>145</v>
      </c>
      <c r="H3" s="23" t="s">
        <v>146</v>
      </c>
      <c r="I3" s="23" t="s">
        <v>147</v>
      </c>
    </row>
    <row r="4" spans="1:12">
      <c r="A4" s="23">
        <v>3</v>
      </c>
      <c r="B4" s="23" t="s">
        <v>148</v>
      </c>
      <c r="C4" s="22"/>
      <c r="D4" s="87" t="s">
        <v>138</v>
      </c>
      <c r="E4" s="23">
        <v>10</v>
      </c>
      <c r="F4" s="22"/>
      <c r="G4" s="23" t="s">
        <v>148</v>
      </c>
      <c r="H4" s="23" t="s">
        <v>149</v>
      </c>
      <c r="I4" s="23" t="s">
        <v>144</v>
      </c>
      <c r="K4" s="21" t="s">
        <v>138</v>
      </c>
      <c r="L4">
        <v>10</v>
      </c>
    </row>
    <row r="5" spans="1:12" ht="43.5">
      <c r="A5" s="23">
        <v>4</v>
      </c>
      <c r="B5" s="23" t="s">
        <v>150</v>
      </c>
      <c r="C5" s="22"/>
      <c r="D5" s="87" t="s">
        <v>140</v>
      </c>
      <c r="E5" s="23" t="str">
        <f>VLOOKUP(VLOOKUP($E$4,EXAMSEATNO,2,TRUE),STUDENTTABLE,ROW()-3,TRUE)</f>
        <v>Kranti Singh</v>
      </c>
      <c r="F5" s="22"/>
      <c r="G5" s="23" t="s">
        <v>150</v>
      </c>
      <c r="H5" s="23" t="s">
        <v>151</v>
      </c>
      <c r="I5" s="23" t="s">
        <v>152</v>
      </c>
      <c r="K5" s="21" t="s">
        <v>140</v>
      </c>
      <c r="L5" s="20" t="str">
        <f>VLOOKUP(VLOOKUP($L$4,EXAMSEATNO,2,TRUE),STUDENTTABLE,ROW()-3,TRUE)</f>
        <v>Kranti Singh</v>
      </c>
    </row>
    <row r="6" spans="1:12">
      <c r="A6" s="23">
        <v>5</v>
      </c>
      <c r="B6" s="23" t="s">
        <v>153</v>
      </c>
      <c r="C6" s="22"/>
      <c r="D6" s="87" t="s">
        <v>141</v>
      </c>
      <c r="E6" s="23" t="str">
        <f>VLOOKUP(VLOOKUP($E$4,EXAMSEATNO,2,TRUE),STUDENTTABLE,ROW()-3,TRUE)</f>
        <v>9B</v>
      </c>
      <c r="F6" s="22"/>
      <c r="G6" s="23" t="s">
        <v>153</v>
      </c>
      <c r="H6" s="23" t="s">
        <v>154</v>
      </c>
      <c r="I6" s="23" t="s">
        <v>155</v>
      </c>
      <c r="K6" s="21" t="s">
        <v>141</v>
      </c>
      <c r="L6" s="20" t="str">
        <f>VLOOKUP(VLOOKUP($L$4,EXAMSEATNO,2,TRUE),STUDENTTABLE,ROW()-3,TRUE)</f>
        <v>9B</v>
      </c>
    </row>
    <row r="7" spans="1:12">
      <c r="A7" s="23">
        <v>6</v>
      </c>
      <c r="B7" s="23" t="s">
        <v>156</v>
      </c>
      <c r="C7" s="22"/>
      <c r="D7" s="22"/>
      <c r="E7" s="22"/>
      <c r="F7" s="22"/>
      <c r="G7" s="23" t="s">
        <v>156</v>
      </c>
      <c r="H7" s="23" t="s">
        <v>157</v>
      </c>
      <c r="I7" s="23" t="s">
        <v>158</v>
      </c>
    </row>
    <row r="8" spans="1:12">
      <c r="A8" s="23">
        <v>7</v>
      </c>
      <c r="B8" s="23" t="s">
        <v>159</v>
      </c>
      <c r="C8" s="22"/>
      <c r="D8" s="22"/>
      <c r="E8" s="22"/>
      <c r="F8" s="22"/>
      <c r="G8" s="23" t="s">
        <v>159</v>
      </c>
      <c r="H8" s="23" t="s">
        <v>160</v>
      </c>
      <c r="I8" s="23" t="s">
        <v>147</v>
      </c>
    </row>
    <row r="9" spans="1:12">
      <c r="A9" s="23">
        <v>8</v>
      </c>
      <c r="B9" s="23" t="s">
        <v>161</v>
      </c>
      <c r="C9" s="22"/>
      <c r="D9" s="24" t="s">
        <v>139</v>
      </c>
      <c r="E9" s="22" t="str">
        <f>E5</f>
        <v>Kranti Singh</v>
      </c>
      <c r="F9" s="22"/>
      <c r="G9" s="23" t="s">
        <v>161</v>
      </c>
      <c r="H9" s="23" t="s">
        <v>162</v>
      </c>
      <c r="I9" s="23" t="s">
        <v>155</v>
      </c>
    </row>
    <row r="10" spans="1:12">
      <c r="A10" s="23">
        <v>9</v>
      </c>
      <c r="B10" s="23" t="s">
        <v>163</v>
      </c>
      <c r="C10" s="22"/>
      <c r="D10" s="22"/>
      <c r="E10" s="22"/>
      <c r="F10" s="22"/>
      <c r="G10" s="23" t="s">
        <v>163</v>
      </c>
      <c r="H10" s="23" t="s">
        <v>164</v>
      </c>
      <c r="I10" s="23" t="s">
        <v>144</v>
      </c>
    </row>
    <row r="11" spans="1:12">
      <c r="A11" s="23">
        <v>10</v>
      </c>
      <c r="B11" s="23" t="s">
        <v>165</v>
      </c>
      <c r="C11" s="22"/>
      <c r="D11" s="22"/>
      <c r="E11" s="22"/>
      <c r="F11" s="22"/>
      <c r="G11" s="23" t="s">
        <v>165</v>
      </c>
      <c r="H11" s="23" t="s">
        <v>166</v>
      </c>
      <c r="I11" s="23" t="s">
        <v>147</v>
      </c>
    </row>
  </sheetData>
  <sheetProtection algorithmName="SHA-512" hashValue="aXQs+sYlD855RHiQpeOweTpOqxFkz/okXptFvVrPR4u9Gs2/OIzA2u6K5/Rm+OSueiITlWoIXQsS439WuvMo8w==" saltValue="kozzCtfo6AQn9uaPNhpthA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1AA9-6832-43FA-A5D5-9CD966AD82F5}">
  <sheetPr>
    <tabColor rgb="FF92D050"/>
  </sheetPr>
  <dimension ref="A1:Q18"/>
  <sheetViews>
    <sheetView topLeftCell="J1" workbookViewId="0">
      <selection activeCell="J2" sqref="J2"/>
    </sheetView>
  </sheetViews>
  <sheetFormatPr defaultRowHeight="15"/>
  <cols>
    <col min="1" max="1" width="17.42578125" bestFit="1" customWidth="1"/>
    <col min="2" max="2" width="15" bestFit="1" customWidth="1"/>
    <col min="3" max="3" width="13.140625" bestFit="1" customWidth="1"/>
    <col min="4" max="4" width="14.7109375" bestFit="1" customWidth="1"/>
    <col min="5" max="5" width="12.42578125" bestFit="1" customWidth="1"/>
    <col min="6" max="6" width="14.42578125" bestFit="1" customWidth="1"/>
    <col min="7" max="7" width="13" bestFit="1" customWidth="1"/>
    <col min="8" max="8" width="6.28515625" bestFit="1" customWidth="1"/>
    <col min="9" max="9" width="7.140625" bestFit="1" customWidth="1"/>
    <col min="10" max="10" width="18.7109375" customWidth="1"/>
    <col min="11" max="11" width="6.28515625" bestFit="1" customWidth="1"/>
    <col min="12" max="12" width="6.5703125" bestFit="1" customWidth="1"/>
    <col min="13" max="13" width="19.7109375" bestFit="1" customWidth="1"/>
    <col min="14" max="14" width="6.28515625" bestFit="1" customWidth="1"/>
    <col min="15" max="15" width="7.140625" bestFit="1" customWidth="1"/>
    <col min="16" max="16" width="16.28515625" bestFit="1" customWidth="1"/>
    <col min="17" max="17" width="8.7109375" customWidth="1"/>
    <col min="18" max="18" width="11.140625" bestFit="1" customWidth="1"/>
  </cols>
  <sheetData>
    <row r="1" spans="1:17">
      <c r="A1" s="29" t="s">
        <v>2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1</v>
      </c>
      <c r="G1" s="22"/>
      <c r="H1" s="22"/>
      <c r="I1" s="33" t="s">
        <v>1</v>
      </c>
      <c r="J1" s="31">
        <v>1009</v>
      </c>
      <c r="L1" s="27" t="str" cm="1">
        <f t="array" ref="L1:Q18">CHOOSE({1,2,3,4,5,6}, F1:F18,A1:A18,B1:B18,C1:C18,D1:D18,E1:E18)</f>
        <v>EmpID</v>
      </c>
      <c r="M1" s="27" t="str">
        <v>Name</v>
      </c>
      <c r="N1" s="27" t="str">
        <v>Age</v>
      </c>
      <c r="O1" s="27" t="str">
        <v>Gender</v>
      </c>
      <c r="P1" s="27" t="str">
        <v>Position</v>
      </c>
      <c r="Q1" s="27" t="str">
        <v>Salary</v>
      </c>
    </row>
    <row r="2" spans="1:17" ht="15.75" customHeight="1">
      <c r="A2" s="30" t="s">
        <v>7</v>
      </c>
      <c r="B2" s="30">
        <v>37</v>
      </c>
      <c r="C2" s="30" t="s">
        <v>8</v>
      </c>
      <c r="D2" s="30" t="s">
        <v>9</v>
      </c>
      <c r="E2" s="30">
        <v>149030</v>
      </c>
      <c r="F2" s="30">
        <v>1001</v>
      </c>
      <c r="G2" s="26"/>
      <c r="H2" s="22"/>
      <c r="I2" s="33" t="s">
        <v>2</v>
      </c>
      <c r="J2" s="32" t="str">
        <f>VLOOKUP($J$1,CHOOSE({1,2,3,4,5,6},$F$1:$F$18,$A$1:$A$18,$B$1:$B$18,$C$1:$C$18,$D$1:$D$18,$E$1:$E$18),ROW(),0)</f>
        <v>Jagdeep Paward</v>
      </c>
      <c r="L2" s="28">
        <v>1001</v>
      </c>
      <c r="M2" s="28" t="str">
        <v>Aniruddha Kale</v>
      </c>
      <c r="N2" s="28">
        <v>37</v>
      </c>
      <c r="O2" s="28" t="str">
        <v>Male</v>
      </c>
      <c r="P2" s="28" t="str">
        <v>Sales</v>
      </c>
      <c r="Q2" s="28">
        <v>149030</v>
      </c>
    </row>
    <row r="3" spans="1:17">
      <c r="A3" s="30" t="s">
        <v>10</v>
      </c>
      <c r="B3" s="30">
        <v>46</v>
      </c>
      <c r="C3" s="30" t="s">
        <v>11</v>
      </c>
      <c r="D3" s="30" t="s">
        <v>12</v>
      </c>
      <c r="E3" s="30">
        <v>182507</v>
      </c>
      <c r="F3" s="30">
        <v>1002</v>
      </c>
      <c r="G3" s="26"/>
      <c r="H3" s="22"/>
      <c r="I3" s="33" t="s">
        <v>3</v>
      </c>
      <c r="J3" s="32">
        <f>VLOOKUP($J$1,CHOOSE({1,2,3,4,5,6},$F$1:$F$18,$A$1:$A$18,$B$1:$B$18,$C$1:$C$18,$D$1:$D$18,$E$1:$E$18),ROW(),0)</f>
        <v>26</v>
      </c>
      <c r="L3" s="28">
        <v>1002</v>
      </c>
      <c r="M3" s="28" t="str">
        <v>Aslam Raza</v>
      </c>
      <c r="N3" s="28">
        <v>46</v>
      </c>
      <c r="O3" s="28" t="str">
        <v>Female</v>
      </c>
      <c r="P3" s="28" t="str">
        <v>Finance</v>
      </c>
      <c r="Q3" s="28">
        <v>182507</v>
      </c>
    </row>
    <row r="4" spans="1:17">
      <c r="A4" s="30" t="s">
        <v>14</v>
      </c>
      <c r="B4" s="30">
        <v>45</v>
      </c>
      <c r="C4" s="30" t="s">
        <v>11</v>
      </c>
      <c r="D4" s="30" t="s">
        <v>15</v>
      </c>
      <c r="E4" s="30">
        <v>100741</v>
      </c>
      <c r="F4" s="30">
        <v>1003</v>
      </c>
      <c r="G4" s="26"/>
      <c r="H4" s="22"/>
      <c r="I4" s="33" t="s">
        <v>4</v>
      </c>
      <c r="J4" s="32" t="str">
        <f>VLOOKUP($J$1,CHOOSE({1,2,3,4,5,6},$F$1:$F$18,$A$1:$A$18,$B$1:$B$18,$C$1:$C$18,$D$1:$D$18,$E$1:$E$18),ROW(),0)</f>
        <v>Female</v>
      </c>
      <c r="L4" s="28">
        <v>1003</v>
      </c>
      <c r="M4" s="28" t="str">
        <v>Roshan Zameer</v>
      </c>
      <c r="N4" s="28">
        <v>45</v>
      </c>
      <c r="O4" s="28" t="str">
        <v>Female</v>
      </c>
      <c r="P4" s="28" t="str">
        <v>Operations</v>
      </c>
      <c r="Q4" s="28">
        <v>100741</v>
      </c>
    </row>
    <row r="5" spans="1:17">
      <c r="A5" s="30" t="s">
        <v>16</v>
      </c>
      <c r="B5" s="30">
        <v>59</v>
      </c>
      <c r="C5" s="30" t="s">
        <v>8</v>
      </c>
      <c r="D5" s="30" t="s">
        <v>9</v>
      </c>
      <c r="E5" s="30">
        <v>84784</v>
      </c>
      <c r="F5" s="30">
        <v>1004</v>
      </c>
      <c r="G5" s="26"/>
      <c r="H5" s="22"/>
      <c r="I5" s="33" t="s">
        <v>5</v>
      </c>
      <c r="J5" s="32" t="str">
        <f>VLOOKUP($J$1,CHOOSE({1,2,3,4,5,6},$F$1:$F$18,$A$1:$A$18,$B$1:$B$18,$C$1:$C$18,$D$1:$D$18,$E$1:$E$18),ROW(),0)</f>
        <v>Finance</v>
      </c>
      <c r="L5" s="28">
        <v>1004</v>
      </c>
      <c r="M5" s="28" t="str">
        <v>Rakesh Sharma</v>
      </c>
      <c r="N5" s="28">
        <v>59</v>
      </c>
      <c r="O5" s="28" t="str">
        <v>Male</v>
      </c>
      <c r="P5" s="28" t="str">
        <v>Sales</v>
      </c>
      <c r="Q5" s="28">
        <v>84784</v>
      </c>
    </row>
    <row r="6" spans="1:17">
      <c r="A6" s="30" t="s">
        <v>17</v>
      </c>
      <c r="B6" s="30">
        <v>59</v>
      </c>
      <c r="C6" s="30" t="s">
        <v>8</v>
      </c>
      <c r="D6" s="30" t="s">
        <v>18</v>
      </c>
      <c r="E6" s="30">
        <v>184551</v>
      </c>
      <c r="F6" s="30">
        <v>1005</v>
      </c>
      <c r="G6" s="26"/>
      <c r="H6" s="22"/>
      <c r="I6" s="33" t="s">
        <v>6</v>
      </c>
      <c r="J6" s="32">
        <f>VLOOKUP($J$1,CHOOSE({1,2,3,4,5,6},$F$1:$F$18,$A$1:$A$18,$B$1:$B$18,$C$1:$C$18,$D$1:$D$18,$E$1:$E$18),ROW(),0)</f>
        <v>75792</v>
      </c>
      <c r="L6" s="28">
        <v>1005</v>
      </c>
      <c r="M6" s="28" t="str">
        <v>Shivanand Sahani</v>
      </c>
      <c r="N6" s="28">
        <v>59</v>
      </c>
      <c r="O6" s="28" t="str">
        <v>Male</v>
      </c>
      <c r="P6" s="28" t="str">
        <v>Product Manager</v>
      </c>
      <c r="Q6" s="28">
        <v>184551</v>
      </c>
    </row>
    <row r="7" spans="1:17">
      <c r="A7" s="30" t="s">
        <v>19</v>
      </c>
      <c r="B7" s="30">
        <v>48</v>
      </c>
      <c r="C7" s="30" t="s">
        <v>8</v>
      </c>
      <c r="D7" s="30" t="s">
        <v>20</v>
      </c>
      <c r="E7" s="30">
        <v>127313</v>
      </c>
      <c r="F7" s="30">
        <v>1006</v>
      </c>
      <c r="G7" s="26"/>
      <c r="H7" s="22"/>
      <c r="I7" s="22"/>
      <c r="J7" s="22"/>
      <c r="L7" s="28">
        <v>1006</v>
      </c>
      <c r="M7" s="28" t="str">
        <v>Kuntal Patra</v>
      </c>
      <c r="N7" s="28">
        <v>48</v>
      </c>
      <c r="O7" s="28" t="str">
        <v>Male</v>
      </c>
      <c r="P7" s="28" t="str">
        <v>Data Scientist</v>
      </c>
      <c r="Q7" s="28">
        <v>127313</v>
      </c>
    </row>
    <row r="8" spans="1:17">
      <c r="A8" s="30" t="s">
        <v>21</v>
      </c>
      <c r="B8" s="30">
        <v>53</v>
      </c>
      <c r="C8" s="30" t="s">
        <v>11</v>
      </c>
      <c r="D8" s="30" t="s">
        <v>15</v>
      </c>
      <c r="E8" s="30">
        <v>31809</v>
      </c>
      <c r="F8" s="30">
        <v>1007</v>
      </c>
      <c r="G8" s="26"/>
      <c r="H8" s="22"/>
      <c r="I8" s="22"/>
      <c r="J8" s="22"/>
      <c r="L8" s="28">
        <v>1007</v>
      </c>
      <c r="M8" s="28" t="str">
        <v>Bijendra Singh</v>
      </c>
      <c r="N8" s="28">
        <v>53</v>
      </c>
      <c r="O8" s="28" t="str">
        <v>Female</v>
      </c>
      <c r="P8" s="28" t="str">
        <v>Operations</v>
      </c>
      <c r="Q8" s="28">
        <v>31809</v>
      </c>
    </row>
    <row r="9" spans="1:17">
      <c r="A9" s="30" t="s">
        <v>22</v>
      </c>
      <c r="B9" s="30">
        <v>59</v>
      </c>
      <c r="C9" s="30" t="s">
        <v>11</v>
      </c>
      <c r="D9" s="30" t="s">
        <v>23</v>
      </c>
      <c r="E9" s="30">
        <v>39769</v>
      </c>
      <c r="F9" s="30">
        <v>1008</v>
      </c>
      <c r="G9" s="26"/>
      <c r="H9" s="22"/>
      <c r="I9" s="22"/>
      <c r="J9" s="22"/>
      <c r="L9" s="28">
        <v>1008</v>
      </c>
      <c r="M9" s="28" t="str">
        <v>Kranti Bheke</v>
      </c>
      <c r="N9" s="28">
        <v>59</v>
      </c>
      <c r="O9" s="28" t="str">
        <v>Female</v>
      </c>
      <c r="P9" s="28" t="str">
        <v>Marketing</v>
      </c>
      <c r="Q9" s="28">
        <v>39769</v>
      </c>
    </row>
    <row r="10" spans="1:17">
      <c r="A10" s="30" t="s">
        <v>24</v>
      </c>
      <c r="B10" s="30">
        <v>26</v>
      </c>
      <c r="C10" s="30" t="s">
        <v>11</v>
      </c>
      <c r="D10" s="30" t="s">
        <v>12</v>
      </c>
      <c r="E10" s="30">
        <v>75792</v>
      </c>
      <c r="F10" s="30">
        <v>1009</v>
      </c>
      <c r="G10" s="26"/>
      <c r="H10" s="22"/>
      <c r="I10" s="22"/>
      <c r="J10" s="22"/>
      <c r="L10" s="28">
        <v>1009</v>
      </c>
      <c r="M10" s="28" t="str">
        <v>Jagdeep Paward</v>
      </c>
      <c r="N10" s="28">
        <v>26</v>
      </c>
      <c r="O10" s="28" t="str">
        <v>Female</v>
      </c>
      <c r="P10" s="28" t="str">
        <v>Finance</v>
      </c>
      <c r="Q10" s="28">
        <v>75792</v>
      </c>
    </row>
    <row r="11" spans="1:17">
      <c r="A11" s="30" t="s">
        <v>25</v>
      </c>
      <c r="B11" s="30">
        <v>58</v>
      </c>
      <c r="C11" s="30" t="s">
        <v>8</v>
      </c>
      <c r="D11" s="30" t="s">
        <v>9</v>
      </c>
      <c r="E11" s="30">
        <v>148988</v>
      </c>
      <c r="F11" s="30">
        <v>1010</v>
      </c>
      <c r="G11" s="26"/>
      <c r="H11" s="22"/>
      <c r="I11" s="22"/>
      <c r="J11" s="22"/>
      <c r="L11" s="28">
        <v>1010</v>
      </c>
      <c r="M11" s="28" t="str">
        <v>Adhir Samal</v>
      </c>
      <c r="N11" s="28">
        <v>58</v>
      </c>
      <c r="O11" s="28" t="str">
        <v>Male</v>
      </c>
      <c r="P11" s="28" t="str">
        <v>Sales</v>
      </c>
      <c r="Q11" s="28">
        <v>148988</v>
      </c>
    </row>
    <row r="12" spans="1:17">
      <c r="A12" s="30" t="s">
        <v>26</v>
      </c>
      <c r="B12" s="30">
        <v>44</v>
      </c>
      <c r="C12" s="30" t="s">
        <v>11</v>
      </c>
      <c r="D12" s="30" t="s">
        <v>9</v>
      </c>
      <c r="E12" s="30">
        <v>98803</v>
      </c>
      <c r="F12" s="30">
        <v>1011</v>
      </c>
      <c r="G12" s="26"/>
      <c r="H12" s="22"/>
      <c r="I12" s="22"/>
      <c r="J12" s="22"/>
      <c r="L12" s="28">
        <v>1011</v>
      </c>
      <c r="M12" s="28" t="str">
        <v>Dannana Jhammi</v>
      </c>
      <c r="N12" s="28">
        <v>44</v>
      </c>
      <c r="O12" s="28" t="str">
        <v>Female</v>
      </c>
      <c r="P12" s="28" t="str">
        <v>Sales</v>
      </c>
      <c r="Q12" s="28">
        <v>98803</v>
      </c>
    </row>
    <row r="13" spans="1:17">
      <c r="A13" s="30" t="s">
        <v>27</v>
      </c>
      <c r="B13" s="30">
        <v>39</v>
      </c>
      <c r="C13" s="30" t="s">
        <v>11</v>
      </c>
      <c r="D13" s="30" t="s">
        <v>18</v>
      </c>
      <c r="E13" s="30">
        <v>172266</v>
      </c>
      <c r="F13" s="30">
        <v>1012</v>
      </c>
      <c r="G13" s="26"/>
      <c r="H13" s="22"/>
      <c r="I13" s="22"/>
      <c r="J13" s="22"/>
      <c r="L13" s="28">
        <v>1012</v>
      </c>
      <c r="M13" s="28" t="str">
        <v>Vipin Kumar</v>
      </c>
      <c r="N13" s="28">
        <v>39</v>
      </c>
      <c r="O13" s="28" t="str">
        <v>Female</v>
      </c>
      <c r="P13" s="28" t="str">
        <v>Product Manager</v>
      </c>
      <c r="Q13" s="28">
        <v>172266</v>
      </c>
    </row>
    <row r="14" spans="1:17">
      <c r="A14" s="30" t="s">
        <v>28</v>
      </c>
      <c r="B14" s="30">
        <v>54</v>
      </c>
      <c r="C14" s="30" t="s">
        <v>8</v>
      </c>
      <c r="D14" s="30" t="s">
        <v>29</v>
      </c>
      <c r="E14" s="30">
        <v>136087</v>
      </c>
      <c r="F14" s="30">
        <v>1013</v>
      </c>
      <c r="G14" s="26"/>
      <c r="H14" s="22"/>
      <c r="I14" s="22"/>
      <c r="J14" s="22"/>
      <c r="L14" s="28">
        <v>1013</v>
      </c>
      <c r="M14" s="28" t="str">
        <v>Ranjeet Kumar</v>
      </c>
      <c r="N14" s="28">
        <v>54</v>
      </c>
      <c r="O14" s="28" t="str">
        <v>Male</v>
      </c>
      <c r="P14" s="28" t="str">
        <v>HR</v>
      </c>
      <c r="Q14" s="28">
        <v>136087</v>
      </c>
    </row>
    <row r="15" spans="1:17">
      <c r="A15" s="30" t="s">
        <v>30</v>
      </c>
      <c r="B15" s="30">
        <v>34</v>
      </c>
      <c r="C15" s="30" t="s">
        <v>11</v>
      </c>
      <c r="D15" s="30" t="s">
        <v>12</v>
      </c>
      <c r="E15" s="30">
        <v>30479</v>
      </c>
      <c r="F15" s="30">
        <v>1014</v>
      </c>
      <c r="G15" s="26"/>
      <c r="H15" s="22"/>
      <c r="I15" s="22"/>
      <c r="J15" s="22"/>
      <c r="L15" s="28">
        <v>1014</v>
      </c>
      <c r="M15" s="28" t="str">
        <v>Sajal Singhal</v>
      </c>
      <c r="N15" s="28">
        <v>34</v>
      </c>
      <c r="O15" s="28" t="str">
        <v>Female</v>
      </c>
      <c r="P15" s="28" t="str">
        <v>Finance</v>
      </c>
      <c r="Q15" s="28">
        <v>30479</v>
      </c>
    </row>
    <row r="16" spans="1:17">
      <c r="A16" s="30" t="s">
        <v>31</v>
      </c>
      <c r="B16" s="30">
        <v>47</v>
      </c>
      <c r="C16" s="30" t="s">
        <v>11</v>
      </c>
      <c r="D16" s="30" t="s">
        <v>9</v>
      </c>
      <c r="E16" s="30">
        <v>150145</v>
      </c>
      <c r="F16" s="30">
        <v>1015</v>
      </c>
      <c r="G16" s="26"/>
      <c r="H16" s="22"/>
      <c r="I16" s="22"/>
      <c r="J16" s="22"/>
      <c r="L16" s="28">
        <v>1015</v>
      </c>
      <c r="M16" s="28" t="str">
        <v>Akhilesh Kumar</v>
      </c>
      <c r="N16" s="28">
        <v>47</v>
      </c>
      <c r="O16" s="28" t="str">
        <v>Female</v>
      </c>
      <c r="P16" s="28" t="str">
        <v>Sales</v>
      </c>
      <c r="Q16" s="28">
        <v>150145</v>
      </c>
    </row>
    <row r="17" spans="1:17">
      <c r="A17" s="30" t="s">
        <v>32</v>
      </c>
      <c r="B17" s="30">
        <v>35</v>
      </c>
      <c r="C17" s="30" t="s">
        <v>11</v>
      </c>
      <c r="D17" s="30" t="s">
        <v>33</v>
      </c>
      <c r="E17" s="30">
        <v>158214</v>
      </c>
      <c r="F17" s="30">
        <v>1016</v>
      </c>
      <c r="G17" s="26"/>
      <c r="H17" s="22"/>
      <c r="I17" s="22"/>
      <c r="J17" s="22"/>
      <c r="L17" s="28">
        <v>1016</v>
      </c>
      <c r="M17" s="28" t="str">
        <v>Suvankar Chakraborty</v>
      </c>
      <c r="N17" s="28">
        <v>35</v>
      </c>
      <c r="O17" s="28" t="str">
        <v>Female</v>
      </c>
      <c r="P17" s="28" t="str">
        <v>Software Engineer</v>
      </c>
      <c r="Q17" s="28">
        <v>158214</v>
      </c>
    </row>
    <row r="18" spans="1:17">
      <c r="A18" s="30" t="s">
        <v>34</v>
      </c>
      <c r="B18" s="30">
        <v>27</v>
      </c>
      <c r="C18" s="30" t="s">
        <v>11</v>
      </c>
      <c r="D18" s="30" t="s">
        <v>35</v>
      </c>
      <c r="E18" s="30">
        <v>121734</v>
      </c>
      <c r="F18" s="30">
        <v>1017</v>
      </c>
      <c r="G18" s="26"/>
      <c r="H18" s="22"/>
      <c r="I18" s="22"/>
      <c r="J18" s="22"/>
      <c r="L18" s="28">
        <v>1017</v>
      </c>
      <c r="M18" s="28" t="str">
        <v>Suvankar Adhikary</v>
      </c>
      <c r="N18" s="28">
        <v>27</v>
      </c>
      <c r="O18" s="28" t="str">
        <v>Female</v>
      </c>
      <c r="P18" s="28" t="str">
        <v>Support</v>
      </c>
      <c r="Q18" s="28">
        <v>121734</v>
      </c>
    </row>
  </sheetData>
  <sheetProtection algorithmName="SHA-512" hashValue="VSfAVkwR4AMi9Y7jXWt2ykdvImPrHt8jgFTYSb0U9qR4swlQLQ/5R7/ifyRNXi0ArvyTEJjpr8GcPClU7iWhaQ==" saltValue="DdTwuGff7TxLJKOhHwqwLg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8FBB-58E9-4AF3-9D0C-36124BC03172}">
  <dimension ref="A1:L183"/>
  <sheetViews>
    <sheetView topLeftCell="U25" workbookViewId="0">
      <selection activeCell="H105" sqref="H105"/>
    </sheetView>
  </sheetViews>
  <sheetFormatPr defaultRowHeight="15"/>
  <cols>
    <col min="1" max="1" width="21.28515625" bestFit="1" customWidth="1"/>
    <col min="2" max="2" width="36.5703125" bestFit="1" customWidth="1"/>
    <col min="3" max="3" width="17.28515625" bestFit="1" customWidth="1"/>
    <col min="4" max="4" width="12" bestFit="1" customWidth="1"/>
    <col min="5" max="5" width="12.28515625" bestFit="1" customWidth="1"/>
    <col min="7" max="7" width="14.42578125" bestFit="1" customWidth="1"/>
    <col min="8" max="8" width="17.28515625" bestFit="1" customWidth="1"/>
    <col min="9" max="9" width="12.28515625" bestFit="1" customWidth="1"/>
    <col min="10" max="10" width="36.5703125" bestFit="1" customWidth="1"/>
  </cols>
  <sheetData>
    <row r="1" spans="1:10" ht="18">
      <c r="A1" s="131">
        <v>1</v>
      </c>
      <c r="B1" s="132" t="s">
        <v>167</v>
      </c>
      <c r="C1" s="132"/>
      <c r="D1" s="132"/>
      <c r="E1" s="132"/>
      <c r="F1" s="132"/>
      <c r="G1" s="132"/>
      <c r="H1" s="132"/>
      <c r="I1" s="132"/>
      <c r="J1" s="132"/>
    </row>
    <row r="2" spans="1:10" ht="18">
      <c r="A2" s="133"/>
      <c r="B2" s="133"/>
      <c r="C2" s="133"/>
      <c r="D2" s="133"/>
      <c r="E2" s="133"/>
      <c r="F2" s="133"/>
      <c r="G2" s="133"/>
      <c r="H2" s="133"/>
      <c r="I2" s="133"/>
      <c r="J2" s="133"/>
    </row>
    <row r="3" spans="1:10" ht="18">
      <c r="A3" s="133"/>
      <c r="B3" s="134" t="s">
        <v>168</v>
      </c>
      <c r="C3" s="134" t="s">
        <v>169</v>
      </c>
      <c r="D3" s="134" t="s">
        <v>170</v>
      </c>
      <c r="E3" s="134" t="s">
        <v>171</v>
      </c>
      <c r="F3" s="133"/>
      <c r="G3" s="134" t="s">
        <v>168</v>
      </c>
      <c r="H3" s="134" t="s">
        <v>169</v>
      </c>
      <c r="I3" s="133"/>
      <c r="J3" s="133"/>
    </row>
    <row r="4" spans="1:10" ht="18">
      <c r="A4" s="133"/>
      <c r="B4" s="135" t="s">
        <v>114</v>
      </c>
      <c r="C4" s="136" t="s">
        <v>172</v>
      </c>
      <c r="D4" s="136" t="s">
        <v>173</v>
      </c>
      <c r="E4" s="135">
        <v>100</v>
      </c>
      <c r="F4" s="133"/>
      <c r="G4" s="135" t="s">
        <v>116</v>
      </c>
      <c r="H4" s="135" t="str">
        <f>VLOOKUP(G4,B3:E18,2,0)</f>
        <v>Monitor</v>
      </c>
      <c r="I4" s="133"/>
      <c r="J4" s="133"/>
    </row>
    <row r="5" spans="1:10" ht="18">
      <c r="A5" s="133"/>
      <c r="B5" s="135" t="s">
        <v>116</v>
      </c>
      <c r="C5" s="136" t="s">
        <v>174</v>
      </c>
      <c r="D5" s="136" t="s">
        <v>175</v>
      </c>
      <c r="E5" s="135">
        <v>230</v>
      </c>
      <c r="F5" s="133"/>
      <c r="G5" s="133"/>
      <c r="H5" s="133"/>
      <c r="I5" s="133"/>
      <c r="J5" s="133"/>
    </row>
    <row r="6" spans="1:10" ht="18">
      <c r="A6" s="133"/>
      <c r="B6" s="135" t="s">
        <v>119</v>
      </c>
      <c r="C6" s="136" t="s">
        <v>176</v>
      </c>
      <c r="D6" s="136" t="s">
        <v>177</v>
      </c>
      <c r="E6" s="135">
        <v>120</v>
      </c>
      <c r="F6" s="133"/>
      <c r="G6" s="133"/>
      <c r="H6" s="133"/>
      <c r="I6" s="133"/>
      <c r="J6" s="133"/>
    </row>
    <row r="7" spans="1:10" ht="18">
      <c r="A7" s="133"/>
      <c r="B7" s="135" t="s">
        <v>178</v>
      </c>
      <c r="C7" s="136" t="s">
        <v>179</v>
      </c>
      <c r="D7" s="136" t="s">
        <v>180</v>
      </c>
      <c r="E7" s="135">
        <v>144</v>
      </c>
      <c r="F7" s="133"/>
      <c r="G7" s="134" t="s">
        <v>169</v>
      </c>
      <c r="H7" s="134" t="s">
        <v>171</v>
      </c>
      <c r="I7" s="133"/>
      <c r="J7" s="133"/>
    </row>
    <row r="8" spans="1:10" ht="18">
      <c r="A8" s="133"/>
      <c r="B8" s="135" t="s">
        <v>181</v>
      </c>
      <c r="C8" s="136" t="s">
        <v>182</v>
      </c>
      <c r="D8" s="136" t="s">
        <v>173</v>
      </c>
      <c r="E8" s="135">
        <v>50</v>
      </c>
      <c r="F8" s="133"/>
      <c r="G8" s="136" t="s">
        <v>172</v>
      </c>
      <c r="H8" s="135">
        <f>VLOOKUP(G8,C3:E18,3,0)</f>
        <v>100</v>
      </c>
      <c r="I8" s="133"/>
      <c r="J8" s="133"/>
    </row>
    <row r="9" spans="1:10" ht="18">
      <c r="A9" s="133"/>
      <c r="B9" s="135" t="s">
        <v>183</v>
      </c>
      <c r="C9" s="136" t="s">
        <v>184</v>
      </c>
      <c r="D9" s="136" t="s">
        <v>175</v>
      </c>
      <c r="E9" s="135">
        <v>340</v>
      </c>
      <c r="F9" s="133"/>
      <c r="G9" s="133"/>
      <c r="H9" s="133"/>
      <c r="I9" s="133"/>
      <c r="J9" s="133"/>
    </row>
    <row r="10" spans="1:10" ht="18">
      <c r="A10" s="133"/>
      <c r="B10" s="135" t="s">
        <v>185</v>
      </c>
      <c r="C10" s="136" t="s">
        <v>186</v>
      </c>
      <c r="D10" s="136" t="s">
        <v>177</v>
      </c>
      <c r="E10" s="135">
        <v>210</v>
      </c>
      <c r="F10" s="133"/>
      <c r="G10" s="133"/>
      <c r="H10" s="133"/>
      <c r="I10" s="133"/>
      <c r="J10" s="133"/>
    </row>
    <row r="11" spans="1:10" ht="18">
      <c r="A11" s="133"/>
      <c r="B11" s="135" t="s">
        <v>187</v>
      </c>
      <c r="C11" s="136" t="s">
        <v>174</v>
      </c>
      <c r="D11" s="136" t="s">
        <v>180</v>
      </c>
      <c r="E11" s="135">
        <v>170</v>
      </c>
      <c r="F11" s="133"/>
      <c r="G11" s="134" t="s">
        <v>168</v>
      </c>
      <c r="H11" s="134" t="s">
        <v>169</v>
      </c>
      <c r="I11" s="134" t="s">
        <v>170</v>
      </c>
      <c r="J11" s="134" t="s">
        <v>171</v>
      </c>
    </row>
    <row r="12" spans="1:10" ht="18">
      <c r="A12" s="133"/>
      <c r="B12" s="135" t="s">
        <v>188</v>
      </c>
      <c r="C12" s="136" t="s">
        <v>189</v>
      </c>
      <c r="D12" s="136" t="s">
        <v>173</v>
      </c>
      <c r="E12" s="135">
        <v>55</v>
      </c>
      <c r="F12" s="133"/>
      <c r="G12" s="135" t="s">
        <v>116</v>
      </c>
      <c r="H12" s="135" t="str">
        <f>VLOOKUP($G$12,$B$3:$E$18,COLUMNS($G$10:H10),0)</f>
        <v>Monitor</v>
      </c>
      <c r="I12" s="135" t="str">
        <f>VLOOKUP($G$12,$B$3:$E$18,COLUMNS($G$10:I10),0)</f>
        <v>West</v>
      </c>
      <c r="J12" s="135">
        <f>VLOOKUP($G$12,$B$3:$E$18,COLUMNS($G$10:J10),0)</f>
        <v>230</v>
      </c>
    </row>
    <row r="13" spans="1:10" ht="18">
      <c r="A13" s="133"/>
      <c r="B13" s="135" t="s">
        <v>190</v>
      </c>
      <c r="C13" s="136" t="s">
        <v>191</v>
      </c>
      <c r="D13" s="136" t="s">
        <v>175</v>
      </c>
      <c r="E13" s="135">
        <v>77</v>
      </c>
      <c r="F13" s="133"/>
      <c r="G13" s="133"/>
      <c r="H13" s="133"/>
      <c r="I13" s="133"/>
      <c r="J13" s="133"/>
    </row>
    <row r="14" spans="1:10" ht="18">
      <c r="A14" s="133"/>
      <c r="B14" s="135" t="s">
        <v>192</v>
      </c>
      <c r="C14" s="136" t="s">
        <v>193</v>
      </c>
      <c r="D14" s="136" t="s">
        <v>177</v>
      </c>
      <c r="E14" s="135">
        <v>154</v>
      </c>
      <c r="F14" s="133"/>
      <c r="G14" s="133"/>
      <c r="H14" s="133"/>
      <c r="I14" s="133"/>
      <c r="J14" s="133"/>
    </row>
    <row r="15" spans="1:10" ht="18">
      <c r="A15" s="133"/>
      <c r="B15" s="135" t="s">
        <v>194</v>
      </c>
      <c r="C15" s="136" t="s">
        <v>195</v>
      </c>
      <c r="D15" s="136" t="s">
        <v>180</v>
      </c>
      <c r="E15" s="135">
        <v>230</v>
      </c>
      <c r="F15" s="133"/>
      <c r="G15" s="133"/>
      <c r="H15" s="133"/>
      <c r="I15" s="133"/>
      <c r="J15" s="133"/>
    </row>
    <row r="16" spans="1:10" ht="18">
      <c r="A16" s="133"/>
      <c r="B16" s="135" t="s">
        <v>196</v>
      </c>
      <c r="C16" s="136" t="s">
        <v>197</v>
      </c>
      <c r="D16" s="136" t="s">
        <v>173</v>
      </c>
      <c r="E16" s="135">
        <v>450</v>
      </c>
      <c r="F16" s="133"/>
      <c r="G16" s="133"/>
      <c r="H16" s="133"/>
      <c r="I16" s="133"/>
      <c r="J16" s="133"/>
    </row>
    <row r="17" spans="1:10" ht="18">
      <c r="A17" s="133"/>
      <c r="B17" s="135" t="s">
        <v>198</v>
      </c>
      <c r="C17" s="136" t="s">
        <v>199</v>
      </c>
      <c r="D17" s="136" t="s">
        <v>175</v>
      </c>
      <c r="E17" s="135">
        <v>230</v>
      </c>
      <c r="F17" s="133"/>
      <c r="G17" s="133"/>
      <c r="H17" s="133"/>
      <c r="I17" s="133"/>
      <c r="J17" s="133"/>
    </row>
    <row r="18" spans="1:10" ht="18">
      <c r="A18" s="133"/>
      <c r="B18" s="135" t="s">
        <v>200</v>
      </c>
      <c r="C18" s="136" t="s">
        <v>201</v>
      </c>
      <c r="D18" s="136" t="s">
        <v>177</v>
      </c>
      <c r="E18" s="135">
        <v>450</v>
      </c>
      <c r="F18" s="133"/>
      <c r="G18" s="133"/>
      <c r="H18" s="133"/>
      <c r="I18" s="133"/>
      <c r="J18" s="133"/>
    </row>
    <row r="21" spans="1:10" ht="34.5">
      <c r="A21" s="131">
        <v>2</v>
      </c>
      <c r="B21" s="138" t="s">
        <v>202</v>
      </c>
      <c r="C21" s="132"/>
      <c r="D21" s="132"/>
      <c r="E21" s="132"/>
      <c r="F21" s="132"/>
      <c r="G21" s="132"/>
      <c r="H21" s="132"/>
      <c r="I21" s="131">
        <v>3</v>
      </c>
    </row>
    <row r="22" spans="1:10" ht="18">
      <c r="A22" s="133"/>
      <c r="B22" s="139"/>
      <c r="C22" s="133"/>
      <c r="D22" s="133"/>
      <c r="E22" s="133"/>
      <c r="F22" s="133"/>
      <c r="G22" s="133"/>
      <c r="H22" s="133"/>
      <c r="I22" s="133"/>
    </row>
    <row r="23" spans="1:10" ht="18">
      <c r="A23" s="133"/>
      <c r="B23" s="140" t="s">
        <v>168</v>
      </c>
      <c r="C23" s="134" t="s">
        <v>169</v>
      </c>
      <c r="D23" s="134" t="s">
        <v>170</v>
      </c>
      <c r="E23" s="134" t="s">
        <v>171</v>
      </c>
      <c r="F23" s="133"/>
      <c r="G23" s="134" t="s">
        <v>168</v>
      </c>
      <c r="H23" s="134" t="s">
        <v>169</v>
      </c>
      <c r="I23" s="133"/>
    </row>
    <row r="24" spans="1:10" ht="18">
      <c r="A24" s="133"/>
      <c r="B24" s="137" t="s">
        <v>114</v>
      </c>
      <c r="C24" s="136" t="s">
        <v>172</v>
      </c>
      <c r="D24" s="136" t="s">
        <v>173</v>
      </c>
      <c r="E24" s="135">
        <v>100</v>
      </c>
      <c r="F24" s="133"/>
      <c r="G24" s="135" t="s">
        <v>192</v>
      </c>
      <c r="H24" s="135" t="s">
        <v>193</v>
      </c>
      <c r="I24" s="133"/>
    </row>
    <row r="25" spans="1:10" ht="18">
      <c r="A25" s="133"/>
      <c r="B25" s="137" t="s">
        <v>116</v>
      </c>
      <c r="C25" s="136" t="s">
        <v>174</v>
      </c>
      <c r="D25" s="136" t="s">
        <v>175</v>
      </c>
      <c r="E25" s="135">
        <v>230</v>
      </c>
      <c r="F25" s="133"/>
      <c r="G25" s="133"/>
      <c r="H25" s="133"/>
      <c r="I25" s="133"/>
    </row>
    <row r="26" spans="1:10" ht="18">
      <c r="A26" s="133"/>
      <c r="B26" s="137" t="s">
        <v>119</v>
      </c>
      <c r="C26" s="136" t="s">
        <v>176</v>
      </c>
      <c r="D26" s="136" t="s">
        <v>177</v>
      </c>
      <c r="E26" s="135">
        <v>120</v>
      </c>
      <c r="F26" s="133"/>
      <c r="G26" s="133"/>
      <c r="H26" s="133"/>
      <c r="I26" s="133"/>
    </row>
    <row r="27" spans="1:10" ht="18">
      <c r="A27" s="133"/>
      <c r="B27" s="137" t="s">
        <v>178</v>
      </c>
      <c r="C27" s="136" t="s">
        <v>179</v>
      </c>
      <c r="D27" s="136" t="s">
        <v>180</v>
      </c>
      <c r="E27" s="135">
        <v>144</v>
      </c>
      <c r="F27" s="133"/>
      <c r="G27" s="133"/>
      <c r="H27" s="133"/>
      <c r="I27" s="133"/>
    </row>
    <row r="28" spans="1:10" ht="18">
      <c r="A28" s="133"/>
      <c r="B28" s="137" t="s">
        <v>181</v>
      </c>
      <c r="C28" s="136" t="s">
        <v>182</v>
      </c>
      <c r="D28" s="136" t="s">
        <v>173</v>
      </c>
      <c r="E28" s="135">
        <v>50</v>
      </c>
      <c r="F28" s="133"/>
      <c r="G28" s="133"/>
      <c r="H28" s="133"/>
      <c r="I28" s="133"/>
    </row>
    <row r="29" spans="1:10" ht="18">
      <c r="A29" s="133"/>
      <c r="B29" s="137" t="s">
        <v>183</v>
      </c>
      <c r="C29" s="136" t="s">
        <v>184</v>
      </c>
      <c r="D29" s="136" t="s">
        <v>175</v>
      </c>
      <c r="E29" s="135">
        <v>340</v>
      </c>
      <c r="F29" s="133"/>
      <c r="G29" s="133"/>
      <c r="H29" s="133"/>
      <c r="I29" s="133"/>
    </row>
    <row r="30" spans="1:10" ht="18">
      <c r="A30" s="133"/>
      <c r="B30" s="137" t="s">
        <v>185</v>
      </c>
      <c r="C30" s="136" t="s">
        <v>186</v>
      </c>
      <c r="D30" s="136" t="s">
        <v>177</v>
      </c>
      <c r="E30" s="135">
        <v>210</v>
      </c>
      <c r="F30" s="133"/>
      <c r="G30" s="133"/>
      <c r="H30" s="133"/>
      <c r="I30" s="133"/>
    </row>
    <row r="31" spans="1:10" ht="18">
      <c r="A31" s="133"/>
      <c r="B31" s="137" t="s">
        <v>187</v>
      </c>
      <c r="C31" s="136" t="s">
        <v>174</v>
      </c>
      <c r="D31" s="136" t="s">
        <v>180</v>
      </c>
      <c r="E31" s="135">
        <v>170</v>
      </c>
      <c r="F31" s="133"/>
      <c r="G31" s="133"/>
      <c r="H31" s="133"/>
      <c r="I31" s="133"/>
    </row>
    <row r="32" spans="1:10" ht="18">
      <c r="A32" s="133"/>
      <c r="B32" s="137" t="s">
        <v>188</v>
      </c>
      <c r="C32" s="136" t="s">
        <v>189</v>
      </c>
      <c r="D32" s="136" t="s">
        <v>173</v>
      </c>
      <c r="E32" s="135">
        <v>55</v>
      </c>
      <c r="F32" s="133"/>
      <c r="G32" s="133"/>
      <c r="H32" s="133"/>
      <c r="I32" s="133"/>
    </row>
    <row r="33" spans="1:10" ht="18">
      <c r="A33" s="133"/>
      <c r="B33" s="137" t="s">
        <v>190</v>
      </c>
      <c r="C33" s="136" t="s">
        <v>191</v>
      </c>
      <c r="D33" s="136" t="s">
        <v>175</v>
      </c>
      <c r="E33" s="135">
        <v>77</v>
      </c>
      <c r="F33" s="133"/>
      <c r="G33" s="133"/>
      <c r="H33" s="133"/>
      <c r="I33" s="133"/>
    </row>
    <row r="34" spans="1:10" ht="18">
      <c r="A34" s="133"/>
      <c r="B34" s="137" t="s">
        <v>192</v>
      </c>
      <c r="C34" s="136" t="s">
        <v>193</v>
      </c>
      <c r="D34" s="136" t="s">
        <v>177</v>
      </c>
      <c r="E34" s="135">
        <v>154</v>
      </c>
      <c r="F34" s="133"/>
      <c r="G34" s="133"/>
      <c r="H34" s="133"/>
      <c r="I34" s="133"/>
    </row>
    <row r="35" spans="1:10" ht="18">
      <c r="A35" s="133"/>
      <c r="B35" s="137" t="s">
        <v>194</v>
      </c>
      <c r="C35" s="136" t="s">
        <v>195</v>
      </c>
      <c r="D35" s="136" t="s">
        <v>180</v>
      </c>
      <c r="E35" s="135">
        <v>230</v>
      </c>
      <c r="F35" s="133"/>
      <c r="G35" s="133"/>
      <c r="H35" s="133"/>
      <c r="I35" s="133"/>
    </row>
    <row r="36" spans="1:10" ht="18">
      <c r="A36" s="133"/>
      <c r="B36" s="137" t="s">
        <v>196</v>
      </c>
      <c r="C36" s="136" t="s">
        <v>197</v>
      </c>
      <c r="D36" s="136" t="s">
        <v>173</v>
      </c>
      <c r="E36" s="135">
        <v>450</v>
      </c>
      <c r="F36" s="133"/>
      <c r="G36" s="133"/>
      <c r="H36" s="133"/>
      <c r="I36" s="133"/>
    </row>
    <row r="37" spans="1:10" ht="18">
      <c r="A37" s="133"/>
      <c r="B37" s="137" t="s">
        <v>198</v>
      </c>
      <c r="C37" s="136" t="s">
        <v>199</v>
      </c>
      <c r="D37" s="136" t="s">
        <v>175</v>
      </c>
      <c r="E37" s="135">
        <v>230</v>
      </c>
      <c r="F37" s="133"/>
      <c r="G37" s="133"/>
      <c r="H37" s="133"/>
      <c r="I37" s="133"/>
    </row>
    <row r="38" spans="1:10" ht="18">
      <c r="A38" s="133"/>
      <c r="B38" s="137" t="s">
        <v>200</v>
      </c>
      <c r="C38" s="136" t="s">
        <v>201</v>
      </c>
      <c r="D38" s="136" t="s">
        <v>177</v>
      </c>
      <c r="E38" s="135">
        <v>450</v>
      </c>
      <c r="F38" s="133"/>
      <c r="G38" s="133"/>
      <c r="H38" s="133"/>
      <c r="I38" s="133"/>
    </row>
    <row r="41" spans="1:10" ht="18">
      <c r="A41" s="131">
        <v>3</v>
      </c>
      <c r="B41" s="132" t="s">
        <v>203</v>
      </c>
      <c r="C41" s="132"/>
      <c r="D41" s="132"/>
      <c r="E41" s="132"/>
      <c r="F41" s="132"/>
      <c r="G41" s="132"/>
      <c r="H41" s="132"/>
      <c r="I41" s="132"/>
      <c r="J41" s="131"/>
    </row>
    <row r="42" spans="1:10" ht="18">
      <c r="A42" s="133"/>
      <c r="B42" s="133"/>
      <c r="C42" s="133"/>
      <c r="D42" s="133"/>
      <c r="E42" s="133"/>
      <c r="F42" s="133"/>
      <c r="G42" s="133"/>
      <c r="H42" s="133"/>
      <c r="I42" s="133"/>
      <c r="J42" s="133"/>
    </row>
    <row r="43" spans="1:10" ht="18">
      <c r="A43" s="133"/>
      <c r="B43" s="134" t="s">
        <v>168</v>
      </c>
      <c r="C43" s="134" t="s">
        <v>169</v>
      </c>
      <c r="D43" s="134" t="s">
        <v>170</v>
      </c>
      <c r="E43" s="134" t="s">
        <v>171</v>
      </c>
      <c r="F43" s="133"/>
      <c r="G43" s="134" t="s">
        <v>168</v>
      </c>
      <c r="H43" s="134" t="s">
        <v>169</v>
      </c>
      <c r="I43" s="134" t="s">
        <v>170</v>
      </c>
      <c r="J43" s="134" t="s">
        <v>171</v>
      </c>
    </row>
    <row r="44" spans="1:10" ht="18">
      <c r="A44" s="133"/>
      <c r="B44" s="135" t="s">
        <v>114</v>
      </c>
      <c r="C44" s="136" t="s">
        <v>172</v>
      </c>
      <c r="D44" s="136" t="s">
        <v>173</v>
      </c>
      <c r="E44" s="135">
        <v>100</v>
      </c>
      <c r="F44" s="133"/>
      <c r="G44" s="135" t="s">
        <v>183</v>
      </c>
      <c r="H44" s="135" t="str">
        <f>VLOOKUP($G$44,$B$43:$E$58,COLUMNS($G$42:H42),0)</f>
        <v>Speaker</v>
      </c>
      <c r="I44" s="135" t="str">
        <f>VLOOKUP($G$44,$B$43:$E$58,COLUMNS($G$42:I42),0)</f>
        <v>West</v>
      </c>
      <c r="J44" s="135">
        <f>VLOOKUP($G$44,$B$43:$E$58,COLUMNS($G$42:J42),0)</f>
        <v>340</v>
      </c>
    </row>
    <row r="45" spans="1:10" ht="18">
      <c r="A45" s="133"/>
      <c r="B45" s="135" t="s">
        <v>116</v>
      </c>
      <c r="C45" s="136" t="s">
        <v>174</v>
      </c>
      <c r="D45" s="136" t="s">
        <v>175</v>
      </c>
      <c r="E45" s="135">
        <v>230</v>
      </c>
      <c r="F45" s="133"/>
      <c r="G45" s="133"/>
      <c r="H45" s="133"/>
      <c r="I45" s="133"/>
      <c r="J45" s="133"/>
    </row>
    <row r="46" spans="1:10" ht="18">
      <c r="A46" s="133"/>
      <c r="B46" s="135" t="s">
        <v>119</v>
      </c>
      <c r="C46" s="136" t="s">
        <v>176</v>
      </c>
      <c r="D46" s="136" t="s">
        <v>177</v>
      </c>
      <c r="E46" s="135">
        <v>120</v>
      </c>
      <c r="F46" s="133"/>
      <c r="G46" s="133"/>
      <c r="H46" s="133"/>
      <c r="I46" s="133"/>
      <c r="J46" s="133"/>
    </row>
    <row r="47" spans="1:10" ht="18">
      <c r="A47" s="133"/>
      <c r="B47" s="135" t="s">
        <v>178</v>
      </c>
      <c r="C47" s="136" t="s">
        <v>179</v>
      </c>
      <c r="D47" s="136" t="s">
        <v>180</v>
      </c>
      <c r="E47" s="135">
        <v>144</v>
      </c>
      <c r="F47" s="133"/>
      <c r="G47" s="133"/>
      <c r="H47" s="133"/>
      <c r="I47" s="133"/>
      <c r="J47" s="133"/>
    </row>
    <row r="48" spans="1:10" ht="18">
      <c r="A48" s="133"/>
      <c r="B48" s="135" t="s">
        <v>181</v>
      </c>
      <c r="C48" s="136" t="s">
        <v>182</v>
      </c>
      <c r="D48" s="136" t="s">
        <v>173</v>
      </c>
      <c r="E48" s="135">
        <v>50</v>
      </c>
      <c r="F48" s="133"/>
      <c r="G48" s="133"/>
      <c r="H48" s="133"/>
      <c r="I48" s="133"/>
      <c r="J48" s="133"/>
    </row>
    <row r="49" spans="1:10" ht="18">
      <c r="A49" s="133"/>
      <c r="B49" s="135" t="s">
        <v>183</v>
      </c>
      <c r="C49" s="136" t="s">
        <v>184</v>
      </c>
      <c r="D49" s="136" t="s">
        <v>175</v>
      </c>
      <c r="E49" s="135">
        <v>340</v>
      </c>
      <c r="F49" s="133"/>
      <c r="G49" s="133"/>
      <c r="H49" s="133"/>
      <c r="I49" s="133"/>
      <c r="J49" s="133"/>
    </row>
    <row r="50" spans="1:10" ht="18">
      <c r="A50" s="133"/>
      <c r="B50" s="135" t="s">
        <v>185</v>
      </c>
      <c r="C50" s="136" t="s">
        <v>186</v>
      </c>
      <c r="D50" s="136" t="s">
        <v>177</v>
      </c>
      <c r="E50" s="135">
        <v>210</v>
      </c>
      <c r="F50" s="133"/>
      <c r="G50" s="133"/>
      <c r="H50" s="133"/>
      <c r="I50" s="133"/>
      <c r="J50" s="133"/>
    </row>
    <row r="51" spans="1:10" ht="18">
      <c r="A51" s="133"/>
      <c r="B51" s="135" t="s">
        <v>187</v>
      </c>
      <c r="C51" s="136" t="s">
        <v>174</v>
      </c>
      <c r="D51" s="136" t="s">
        <v>180</v>
      </c>
      <c r="E51" s="135">
        <v>170</v>
      </c>
      <c r="F51" s="133"/>
      <c r="G51" s="133"/>
      <c r="H51" s="133"/>
      <c r="I51" s="133"/>
      <c r="J51" s="133"/>
    </row>
    <row r="52" spans="1:10" ht="18">
      <c r="A52" s="133"/>
      <c r="B52" s="135" t="s">
        <v>188</v>
      </c>
      <c r="C52" s="136" t="s">
        <v>189</v>
      </c>
      <c r="D52" s="136" t="s">
        <v>173</v>
      </c>
      <c r="E52" s="135">
        <v>55</v>
      </c>
      <c r="F52" s="133"/>
      <c r="G52" s="133"/>
      <c r="H52" s="133"/>
      <c r="I52" s="133"/>
      <c r="J52" s="133"/>
    </row>
    <row r="53" spans="1:10" ht="18">
      <c r="A53" s="133"/>
      <c r="B53" s="135" t="s">
        <v>190</v>
      </c>
      <c r="C53" s="136" t="s">
        <v>191</v>
      </c>
      <c r="D53" s="136" t="s">
        <v>175</v>
      </c>
      <c r="E53" s="135">
        <v>77</v>
      </c>
      <c r="F53" s="133"/>
      <c r="G53" s="133"/>
      <c r="H53" s="133"/>
      <c r="I53" s="133"/>
      <c r="J53" s="133"/>
    </row>
    <row r="54" spans="1:10" ht="18">
      <c r="A54" s="133"/>
      <c r="B54" s="135" t="s">
        <v>192</v>
      </c>
      <c r="C54" s="136" t="s">
        <v>193</v>
      </c>
      <c r="D54" s="136" t="s">
        <v>177</v>
      </c>
      <c r="E54" s="135">
        <v>154</v>
      </c>
      <c r="F54" s="133"/>
      <c r="G54" s="133"/>
      <c r="H54" s="133"/>
      <c r="I54" s="133"/>
      <c r="J54" s="133"/>
    </row>
    <row r="55" spans="1:10" ht="18">
      <c r="A55" s="133"/>
      <c r="B55" s="135" t="s">
        <v>194</v>
      </c>
      <c r="C55" s="136" t="s">
        <v>195</v>
      </c>
      <c r="D55" s="136" t="s">
        <v>180</v>
      </c>
      <c r="E55" s="135">
        <v>230</v>
      </c>
      <c r="F55" s="133"/>
      <c r="G55" s="133"/>
      <c r="H55" s="133"/>
      <c r="I55" s="133"/>
      <c r="J55" s="133"/>
    </row>
    <row r="56" spans="1:10" ht="18">
      <c r="A56" s="133"/>
      <c r="B56" s="135" t="s">
        <v>196</v>
      </c>
      <c r="C56" s="136" t="s">
        <v>197</v>
      </c>
      <c r="D56" s="136" t="s">
        <v>173</v>
      </c>
      <c r="E56" s="135">
        <v>450</v>
      </c>
      <c r="F56" s="133"/>
      <c r="G56" s="133"/>
      <c r="H56" s="133"/>
      <c r="I56" s="133"/>
      <c r="J56" s="133"/>
    </row>
    <row r="57" spans="1:10" ht="18">
      <c r="A57" s="133"/>
      <c r="B57" s="135" t="s">
        <v>198</v>
      </c>
      <c r="C57" s="136" t="s">
        <v>199</v>
      </c>
      <c r="D57" s="136" t="s">
        <v>175</v>
      </c>
      <c r="E57" s="135">
        <v>230</v>
      </c>
      <c r="F57" s="133"/>
      <c r="G57" s="133"/>
      <c r="H57" s="133"/>
      <c r="I57" s="133"/>
      <c r="J57" s="133"/>
    </row>
    <row r="58" spans="1:10" ht="18">
      <c r="A58" s="133"/>
      <c r="B58" s="135" t="s">
        <v>200</v>
      </c>
      <c r="C58" s="136" t="s">
        <v>201</v>
      </c>
      <c r="D58" s="136" t="s">
        <v>177</v>
      </c>
      <c r="E58" s="135">
        <v>450</v>
      </c>
      <c r="F58" s="133"/>
      <c r="G58" s="133"/>
      <c r="H58" s="133"/>
      <c r="I58" s="133"/>
      <c r="J58" s="133"/>
    </row>
    <row r="61" spans="1:10" ht="51.75">
      <c r="A61" s="131">
        <v>4</v>
      </c>
      <c r="B61" s="138" t="s">
        <v>204</v>
      </c>
      <c r="C61" s="132"/>
      <c r="D61" s="132"/>
      <c r="E61" s="132"/>
      <c r="F61" s="132"/>
      <c r="G61" s="132"/>
      <c r="H61" s="132"/>
    </row>
    <row r="62" spans="1:10" ht="18">
      <c r="A62" s="133"/>
      <c r="B62" s="139"/>
      <c r="C62" s="133"/>
      <c r="D62" s="133"/>
      <c r="E62" s="133"/>
      <c r="F62" s="133"/>
      <c r="G62" s="133"/>
      <c r="H62" s="133"/>
    </row>
    <row r="63" spans="1:10" ht="18">
      <c r="A63" s="133"/>
      <c r="B63" s="144" t="s">
        <v>168</v>
      </c>
      <c r="C63" s="141" t="s">
        <v>169</v>
      </c>
      <c r="D63" s="141" t="s">
        <v>170</v>
      </c>
      <c r="E63" s="141" t="s">
        <v>171</v>
      </c>
      <c r="F63" s="133"/>
      <c r="G63" s="134" t="s">
        <v>107</v>
      </c>
      <c r="H63" s="142" t="s">
        <v>171</v>
      </c>
    </row>
    <row r="64" spans="1:10" ht="18">
      <c r="A64" s="133"/>
      <c r="B64" s="145" t="s">
        <v>114</v>
      </c>
      <c r="C64" s="143" t="s">
        <v>172</v>
      </c>
      <c r="D64" s="143" t="s">
        <v>173</v>
      </c>
      <c r="E64" s="143">
        <v>100</v>
      </c>
      <c r="F64" s="133"/>
      <c r="G64" s="135" t="s">
        <v>198</v>
      </c>
      <c r="H64" s="135">
        <f>VLOOKUP(G64,Table2[#All],4,0)</f>
        <v>345</v>
      </c>
    </row>
    <row r="65" spans="1:8" ht="18">
      <c r="A65" s="133"/>
      <c r="B65" s="145" t="s">
        <v>116</v>
      </c>
      <c r="C65" s="143" t="s">
        <v>174</v>
      </c>
      <c r="D65" s="143" t="s">
        <v>175</v>
      </c>
      <c r="E65" s="143">
        <v>230</v>
      </c>
      <c r="F65" s="133"/>
      <c r="G65" s="133"/>
      <c r="H65" s="133"/>
    </row>
    <row r="66" spans="1:8" ht="18">
      <c r="A66" s="133"/>
      <c r="B66" s="145" t="s">
        <v>119</v>
      </c>
      <c r="C66" s="143" t="s">
        <v>176</v>
      </c>
      <c r="D66" s="143" t="s">
        <v>177</v>
      </c>
      <c r="E66" s="143">
        <v>120</v>
      </c>
      <c r="F66" s="133"/>
      <c r="G66" s="133"/>
      <c r="H66" s="133"/>
    </row>
    <row r="67" spans="1:8" ht="18">
      <c r="A67" s="133"/>
      <c r="B67" s="145" t="s">
        <v>178</v>
      </c>
      <c r="C67" s="143" t="s">
        <v>179</v>
      </c>
      <c r="D67" s="143" t="s">
        <v>180</v>
      </c>
      <c r="E67" s="143">
        <v>144</v>
      </c>
      <c r="F67" s="133"/>
      <c r="G67" s="133"/>
      <c r="H67" s="133"/>
    </row>
    <row r="68" spans="1:8" ht="18">
      <c r="A68" s="133"/>
      <c r="B68" s="145" t="s">
        <v>181</v>
      </c>
      <c r="C68" s="143" t="s">
        <v>182</v>
      </c>
      <c r="D68" s="143" t="s">
        <v>173</v>
      </c>
      <c r="E68" s="143">
        <v>50</v>
      </c>
      <c r="F68" s="133"/>
      <c r="G68" s="133"/>
      <c r="H68" s="133"/>
    </row>
    <row r="69" spans="1:8" ht="18">
      <c r="A69" s="133"/>
      <c r="B69" s="145" t="s">
        <v>183</v>
      </c>
      <c r="C69" s="143" t="s">
        <v>184</v>
      </c>
      <c r="D69" s="143" t="s">
        <v>175</v>
      </c>
      <c r="E69" s="143">
        <v>340</v>
      </c>
      <c r="F69" s="133"/>
      <c r="G69" s="133"/>
      <c r="H69" s="133"/>
    </row>
    <row r="70" spans="1:8" ht="18">
      <c r="A70" s="133"/>
      <c r="B70" s="145" t="s">
        <v>185</v>
      </c>
      <c r="C70" s="143" t="s">
        <v>186</v>
      </c>
      <c r="D70" s="143" t="s">
        <v>177</v>
      </c>
      <c r="E70" s="143">
        <v>210</v>
      </c>
      <c r="F70" s="133"/>
      <c r="G70" s="133"/>
      <c r="H70" s="133"/>
    </row>
    <row r="71" spans="1:8" ht="18">
      <c r="A71" s="133"/>
      <c r="B71" s="145" t="s">
        <v>187</v>
      </c>
      <c r="C71" s="143" t="s">
        <v>174</v>
      </c>
      <c r="D71" s="143" t="s">
        <v>180</v>
      </c>
      <c r="E71" s="143">
        <v>170</v>
      </c>
      <c r="F71" s="133"/>
      <c r="G71" s="133"/>
      <c r="H71" s="133"/>
    </row>
    <row r="72" spans="1:8" ht="18">
      <c r="A72" s="133"/>
      <c r="B72" s="145" t="s">
        <v>188</v>
      </c>
      <c r="C72" s="143" t="s">
        <v>189</v>
      </c>
      <c r="D72" s="143" t="s">
        <v>173</v>
      </c>
      <c r="E72" s="143">
        <v>55</v>
      </c>
      <c r="F72" s="133"/>
      <c r="G72" s="133"/>
      <c r="H72" s="133"/>
    </row>
    <row r="73" spans="1:8" ht="18">
      <c r="A73" s="133"/>
      <c r="B73" s="145" t="s">
        <v>190</v>
      </c>
      <c r="C73" s="143" t="s">
        <v>191</v>
      </c>
      <c r="D73" s="143" t="s">
        <v>175</v>
      </c>
      <c r="E73" s="143">
        <v>77</v>
      </c>
      <c r="F73" s="133"/>
      <c r="G73" s="133"/>
      <c r="H73" s="133"/>
    </row>
    <row r="74" spans="1:8" ht="18">
      <c r="A74" s="133"/>
      <c r="B74" s="145" t="s">
        <v>192</v>
      </c>
      <c r="C74" s="143" t="s">
        <v>193</v>
      </c>
      <c r="D74" s="143" t="s">
        <v>177</v>
      </c>
      <c r="E74" s="143">
        <v>154</v>
      </c>
      <c r="F74" s="133"/>
      <c r="G74" s="133"/>
      <c r="H74" s="133"/>
    </row>
    <row r="75" spans="1:8" ht="18">
      <c r="A75" s="133"/>
      <c r="B75" s="145" t="s">
        <v>194</v>
      </c>
      <c r="C75" s="143" t="s">
        <v>195</v>
      </c>
      <c r="D75" s="143" t="s">
        <v>180</v>
      </c>
      <c r="E75" s="143">
        <v>230</v>
      </c>
      <c r="F75" s="133"/>
      <c r="G75" s="133"/>
      <c r="H75" s="133"/>
    </row>
    <row r="76" spans="1:8" ht="18">
      <c r="A76" s="133"/>
      <c r="B76" s="145" t="s">
        <v>196</v>
      </c>
      <c r="C76" s="143" t="s">
        <v>205</v>
      </c>
      <c r="D76" s="143" t="s">
        <v>180</v>
      </c>
      <c r="E76" s="143">
        <v>234</v>
      </c>
      <c r="F76" s="133"/>
      <c r="G76" s="133"/>
      <c r="H76" s="133"/>
    </row>
    <row r="77" spans="1:8">
      <c r="B77" t="s">
        <v>198</v>
      </c>
      <c r="C77" t="s">
        <v>206</v>
      </c>
      <c r="D77" t="s">
        <v>207</v>
      </c>
      <c r="E77">
        <v>345</v>
      </c>
    </row>
    <row r="78" spans="1:8" ht="18">
      <c r="B78" s="145" t="s">
        <v>200</v>
      </c>
      <c r="C78" s="143" t="s">
        <v>208</v>
      </c>
      <c r="D78" s="143" t="s">
        <v>209</v>
      </c>
      <c r="E78" s="143">
        <v>556</v>
      </c>
    </row>
    <row r="79" spans="1:8" ht="18">
      <c r="B79" s="145" t="s">
        <v>210</v>
      </c>
      <c r="C79" s="143" t="s">
        <v>211</v>
      </c>
      <c r="D79" s="143" t="s">
        <v>212</v>
      </c>
      <c r="E79" s="143">
        <v>999</v>
      </c>
    </row>
    <row r="81" spans="1:10" ht="34.5">
      <c r="A81" s="131">
        <v>5</v>
      </c>
      <c r="B81" s="138" t="s">
        <v>213</v>
      </c>
      <c r="C81" s="132"/>
      <c r="D81" s="132"/>
      <c r="E81" s="132"/>
      <c r="F81" s="132"/>
      <c r="G81" s="132"/>
      <c r="H81" s="132"/>
      <c r="I81" s="132"/>
      <c r="J81" s="132"/>
    </row>
    <row r="82" spans="1:10" ht="18">
      <c r="A82" s="133"/>
      <c r="B82" s="139"/>
      <c r="C82" s="133"/>
      <c r="D82" s="133"/>
      <c r="E82" s="133"/>
      <c r="F82" s="133"/>
      <c r="G82" s="133"/>
      <c r="H82" s="133"/>
      <c r="I82" s="133"/>
      <c r="J82" s="133"/>
    </row>
    <row r="83" spans="1:10" ht="18">
      <c r="A83" s="133"/>
      <c r="B83" s="149" t="s">
        <v>168</v>
      </c>
      <c r="C83" s="146" t="s">
        <v>169</v>
      </c>
      <c r="D83" s="146" t="s">
        <v>170</v>
      </c>
      <c r="E83" s="142" t="s">
        <v>171</v>
      </c>
      <c r="F83" s="133"/>
      <c r="G83" s="134" t="s">
        <v>168</v>
      </c>
      <c r="H83" s="134" t="s">
        <v>169</v>
      </c>
      <c r="I83" s="146" t="s">
        <v>170</v>
      </c>
      <c r="J83" s="142" t="s">
        <v>171</v>
      </c>
    </row>
    <row r="84" spans="1:10" ht="18">
      <c r="A84" s="133"/>
      <c r="B84" s="150" t="s">
        <v>114</v>
      </c>
      <c r="C84" s="143" t="s">
        <v>172</v>
      </c>
      <c r="D84" s="143" t="s">
        <v>173</v>
      </c>
      <c r="E84" s="147">
        <v>100</v>
      </c>
      <c r="F84" s="133"/>
      <c r="G84" s="143" t="s">
        <v>116</v>
      </c>
      <c r="H84" s="135" t="str">
        <f>VLOOKUP($G84,$B$83:$E$95,COLUMNS($G$82:H82),0)</f>
        <v>Monitor</v>
      </c>
      <c r="I84" s="135" t="str">
        <f>VLOOKUP($G84,$B$83:$E$95,COLUMNS($G$82:I82),0)</f>
        <v>West</v>
      </c>
      <c r="J84" s="135">
        <f>VLOOKUP($G84,$B$83:$E$95,COLUMNS($G$82:J82),0)</f>
        <v>230</v>
      </c>
    </row>
    <row r="85" spans="1:10" ht="18">
      <c r="A85" s="133"/>
      <c r="B85" s="150" t="s">
        <v>116</v>
      </c>
      <c r="C85" s="143" t="s">
        <v>174</v>
      </c>
      <c r="D85" s="143" t="s">
        <v>175</v>
      </c>
      <c r="E85" s="147">
        <v>230</v>
      </c>
      <c r="F85" s="133"/>
      <c r="G85" s="143" t="s">
        <v>181</v>
      </c>
      <c r="H85" s="135" t="str">
        <f>VLOOKUP($G85,$B$83:$E$95,COLUMNS($G$82:H83),0)</f>
        <v>Processor i4</v>
      </c>
      <c r="I85" s="135" t="str">
        <f>VLOOKUP($G85,$B$83:$E$95,COLUMNS($G$82:I83),0)</f>
        <v>East</v>
      </c>
      <c r="J85" s="135">
        <f>VLOOKUP($G85,$B$83:$E$95,COLUMNS($G$82:J83),0)</f>
        <v>50</v>
      </c>
    </row>
    <row r="86" spans="1:10" ht="18">
      <c r="A86" s="133"/>
      <c r="B86" s="150" t="s">
        <v>119</v>
      </c>
      <c r="C86" s="143" t="s">
        <v>176</v>
      </c>
      <c r="D86" s="143" t="s">
        <v>177</v>
      </c>
      <c r="E86" s="147">
        <v>120</v>
      </c>
      <c r="F86" s="133"/>
      <c r="G86" s="143" t="s">
        <v>183</v>
      </c>
      <c r="H86" s="135" t="str">
        <f>VLOOKUP($G86,$B$83:$E$95,COLUMNS($G$82:H84),0)</f>
        <v>Speaker</v>
      </c>
      <c r="I86" s="135" t="str">
        <f>VLOOKUP($G86,$B$83:$E$95,COLUMNS($G$82:I84),0)</f>
        <v>West</v>
      </c>
      <c r="J86" s="135">
        <f>VLOOKUP($G86,$B$83:$E$95,COLUMNS($G$82:J84),0)</f>
        <v>340</v>
      </c>
    </row>
    <row r="87" spans="1:10" ht="18">
      <c r="A87" s="133"/>
      <c r="B87" s="150" t="s">
        <v>178</v>
      </c>
      <c r="C87" s="143" t="s">
        <v>179</v>
      </c>
      <c r="D87" s="143" t="s">
        <v>180</v>
      </c>
      <c r="E87" s="147">
        <v>144</v>
      </c>
      <c r="F87" s="133"/>
      <c r="G87" s="136" t="s">
        <v>188</v>
      </c>
      <c r="H87" s="135" t="str">
        <f>VLOOKUP($G87,$B$83:$E$95,COLUMNS($G$82:H85),0)</f>
        <v>Keyboard</v>
      </c>
      <c r="I87" s="135" t="str">
        <f>VLOOKUP($G87,$B$83:$E$95,COLUMNS($G$82:I85),0)</f>
        <v>East</v>
      </c>
      <c r="J87" s="135">
        <f>VLOOKUP($G87,$B$83:$E$95,COLUMNS($G$82:J85),0)</f>
        <v>55</v>
      </c>
    </row>
    <row r="88" spans="1:10" ht="18">
      <c r="A88" s="133"/>
      <c r="B88" s="150" t="s">
        <v>181</v>
      </c>
      <c r="C88" s="143" t="s">
        <v>182</v>
      </c>
      <c r="D88" s="143" t="s">
        <v>173</v>
      </c>
      <c r="E88" s="147">
        <v>50</v>
      </c>
      <c r="F88" s="133"/>
      <c r="G88" s="133"/>
      <c r="H88" s="133"/>
      <c r="I88" s="133"/>
      <c r="J88" s="133"/>
    </row>
    <row r="89" spans="1:10" ht="18">
      <c r="A89" s="133"/>
      <c r="B89" s="150" t="s">
        <v>183</v>
      </c>
      <c r="C89" s="143" t="s">
        <v>184</v>
      </c>
      <c r="D89" s="143" t="s">
        <v>175</v>
      </c>
      <c r="E89" s="147">
        <v>340</v>
      </c>
      <c r="F89" s="133"/>
      <c r="G89" s="133"/>
      <c r="H89" s="133"/>
      <c r="I89" s="133"/>
      <c r="J89" s="133"/>
    </row>
    <row r="90" spans="1:10" ht="18">
      <c r="A90" s="133"/>
      <c r="B90" s="150" t="s">
        <v>185</v>
      </c>
      <c r="C90" s="143" t="s">
        <v>186</v>
      </c>
      <c r="D90" s="143" t="s">
        <v>177</v>
      </c>
      <c r="E90" s="147">
        <v>210</v>
      </c>
      <c r="F90" s="133"/>
      <c r="G90" s="133"/>
      <c r="H90" s="133"/>
      <c r="I90" s="133"/>
      <c r="J90" s="133"/>
    </row>
    <row r="91" spans="1:10" ht="18">
      <c r="A91" s="133"/>
      <c r="B91" s="150" t="s">
        <v>187</v>
      </c>
      <c r="C91" s="143" t="s">
        <v>174</v>
      </c>
      <c r="D91" s="143" t="s">
        <v>180</v>
      </c>
      <c r="E91" s="147">
        <v>170</v>
      </c>
      <c r="F91" s="133"/>
      <c r="G91" s="133"/>
      <c r="H91" s="133"/>
      <c r="I91" s="133"/>
      <c r="J91" s="133"/>
    </row>
    <row r="92" spans="1:10" ht="18">
      <c r="A92" s="133"/>
      <c r="B92" s="150" t="s">
        <v>188</v>
      </c>
      <c r="C92" s="143" t="s">
        <v>189</v>
      </c>
      <c r="D92" s="143" t="s">
        <v>173</v>
      </c>
      <c r="E92" s="147">
        <v>55</v>
      </c>
      <c r="F92" s="133"/>
      <c r="G92" s="133"/>
      <c r="H92" s="133"/>
      <c r="I92" s="133"/>
      <c r="J92" s="133"/>
    </row>
    <row r="93" spans="1:10" ht="18">
      <c r="A93" s="133"/>
      <c r="B93" s="150" t="s">
        <v>190</v>
      </c>
      <c r="C93" s="143" t="s">
        <v>191</v>
      </c>
      <c r="D93" s="143" t="s">
        <v>175</v>
      </c>
      <c r="E93" s="147">
        <v>77</v>
      </c>
      <c r="F93" s="133"/>
      <c r="G93" s="133"/>
      <c r="H93" s="133"/>
      <c r="I93" s="133"/>
      <c r="J93" s="133"/>
    </row>
    <row r="94" spans="1:10" ht="18">
      <c r="A94" s="133"/>
      <c r="B94" s="150" t="s">
        <v>192</v>
      </c>
      <c r="C94" s="143" t="s">
        <v>193</v>
      </c>
      <c r="D94" s="143" t="s">
        <v>177</v>
      </c>
      <c r="E94" s="147">
        <v>154</v>
      </c>
      <c r="F94" s="133"/>
      <c r="G94" s="133"/>
      <c r="H94" s="133"/>
      <c r="I94" s="133"/>
      <c r="J94" s="133"/>
    </row>
    <row r="95" spans="1:10" ht="18">
      <c r="A95" s="133"/>
      <c r="B95" s="151" t="s">
        <v>194</v>
      </c>
      <c r="C95" s="148" t="s">
        <v>195</v>
      </c>
      <c r="D95" s="148" t="s">
        <v>180</v>
      </c>
      <c r="E95" s="136">
        <v>230</v>
      </c>
      <c r="F95" s="133"/>
      <c r="G95" s="133"/>
      <c r="H95" s="133"/>
      <c r="I95" s="133"/>
      <c r="J95" s="133"/>
    </row>
    <row r="98" spans="1:9" ht="34.5">
      <c r="A98" s="131">
        <v>6</v>
      </c>
      <c r="B98" s="138" t="s">
        <v>214</v>
      </c>
      <c r="C98" s="132"/>
      <c r="D98" s="132"/>
      <c r="E98" s="132"/>
      <c r="F98" s="132"/>
      <c r="G98" s="132"/>
      <c r="H98" s="132"/>
      <c r="I98" s="132"/>
    </row>
    <row r="99" spans="1:9" ht="18">
      <c r="A99" s="133"/>
      <c r="B99" s="139"/>
      <c r="C99" s="133"/>
      <c r="D99" s="133"/>
      <c r="E99" s="133"/>
      <c r="F99" s="133"/>
      <c r="G99" s="133"/>
      <c r="H99" s="133"/>
      <c r="I99" s="133"/>
    </row>
    <row r="100" spans="1:9" ht="18">
      <c r="A100" s="152" t="s">
        <v>215</v>
      </c>
      <c r="B100" s="149" t="s">
        <v>168</v>
      </c>
      <c r="C100" s="146" t="s">
        <v>169</v>
      </c>
      <c r="D100" s="146" t="s">
        <v>170</v>
      </c>
      <c r="E100" s="142" t="s">
        <v>171</v>
      </c>
      <c r="F100" s="133"/>
      <c r="G100" s="153" t="s">
        <v>168</v>
      </c>
      <c r="H100" s="153" t="s">
        <v>169</v>
      </c>
      <c r="I100" s="142" t="s">
        <v>171</v>
      </c>
    </row>
    <row r="101" spans="1:9" ht="18">
      <c r="A101" s="152" t="str">
        <f>B101&amp;C101</f>
        <v>P01Mouse</v>
      </c>
      <c r="B101" s="150" t="s">
        <v>114</v>
      </c>
      <c r="C101" s="143" t="s">
        <v>172</v>
      </c>
      <c r="D101" s="143" t="s">
        <v>173</v>
      </c>
      <c r="E101" s="147">
        <v>100</v>
      </c>
      <c r="F101" s="133"/>
      <c r="G101" s="154" t="s">
        <v>187</v>
      </c>
      <c r="H101" s="154" t="s">
        <v>174</v>
      </c>
      <c r="I101" s="135">
        <f>VLOOKUP(G101&amp;H101,A100:E112,5,0)</f>
        <v>170</v>
      </c>
    </row>
    <row r="102" spans="1:9" ht="18">
      <c r="A102" s="152" t="str">
        <f t="shared" ref="A102:A112" si="0">B102&amp;C102</f>
        <v>P02Monitor</v>
      </c>
      <c r="B102" s="150" t="s">
        <v>116</v>
      </c>
      <c r="C102" s="143" t="s">
        <v>174</v>
      </c>
      <c r="D102" s="143" t="s">
        <v>175</v>
      </c>
      <c r="E102" s="147">
        <v>230</v>
      </c>
      <c r="F102" s="133"/>
      <c r="G102" s="133"/>
      <c r="H102" s="133"/>
      <c r="I102" s="133"/>
    </row>
    <row r="103" spans="1:9" ht="18">
      <c r="A103" s="152" t="str">
        <f t="shared" si="0"/>
        <v>P03Printer</v>
      </c>
      <c r="B103" s="150" t="s">
        <v>119</v>
      </c>
      <c r="C103" s="143" t="s">
        <v>176</v>
      </c>
      <c r="D103" s="143" t="s">
        <v>177</v>
      </c>
      <c r="E103" s="147">
        <v>120</v>
      </c>
      <c r="F103" s="133"/>
      <c r="G103" s="133"/>
      <c r="H103" s="133"/>
      <c r="I103" s="133"/>
    </row>
    <row r="104" spans="1:9" ht="18">
      <c r="A104" s="152" t="str">
        <f t="shared" si="0"/>
        <v>P04Processor i3</v>
      </c>
      <c r="B104" s="150" t="s">
        <v>178</v>
      </c>
      <c r="C104" s="143" t="s">
        <v>179</v>
      </c>
      <c r="D104" s="143" t="s">
        <v>180</v>
      </c>
      <c r="E104" s="147">
        <v>144</v>
      </c>
      <c r="F104" s="133"/>
      <c r="G104" s="133"/>
      <c r="H104" s="133">
        <v>23</v>
      </c>
      <c r="I104" s="133"/>
    </row>
    <row r="105" spans="1:9" ht="18">
      <c r="A105" s="152" t="str">
        <f t="shared" si="0"/>
        <v>P05Processor i4</v>
      </c>
      <c r="B105" s="150" t="s">
        <v>181</v>
      </c>
      <c r="C105" s="143" t="s">
        <v>182</v>
      </c>
      <c r="D105" s="143" t="s">
        <v>173</v>
      </c>
      <c r="E105" s="147">
        <v>50</v>
      </c>
      <c r="F105" s="133"/>
      <c r="G105" s="133"/>
      <c r="H105" s="133"/>
      <c r="I105" s="133"/>
    </row>
    <row r="106" spans="1:9" ht="18">
      <c r="A106" s="152" t="str">
        <f t="shared" si="0"/>
        <v>P06Speaker</v>
      </c>
      <c r="B106" s="150" t="s">
        <v>183</v>
      </c>
      <c r="C106" s="143" t="s">
        <v>184</v>
      </c>
      <c r="D106" s="143" t="s">
        <v>175</v>
      </c>
      <c r="E106" s="147">
        <v>340</v>
      </c>
      <c r="F106" s="133"/>
      <c r="G106" s="133"/>
      <c r="H106" s="133"/>
      <c r="I106" s="133"/>
    </row>
    <row r="107" spans="1:9" ht="18">
      <c r="A107" s="152" t="str">
        <f t="shared" si="0"/>
        <v>P07RGB Light</v>
      </c>
      <c r="B107" s="150" t="s">
        <v>185</v>
      </c>
      <c r="C107" s="143" t="s">
        <v>186</v>
      </c>
      <c r="D107" s="143" t="s">
        <v>177</v>
      </c>
      <c r="E107" s="147">
        <v>210</v>
      </c>
      <c r="F107" s="133"/>
      <c r="G107" s="133"/>
      <c r="H107" s="133"/>
      <c r="I107" s="133"/>
    </row>
    <row r="108" spans="1:9" ht="18">
      <c r="A108" s="152" t="str">
        <f t="shared" si="0"/>
        <v>P08Monitor</v>
      </c>
      <c r="B108" s="150" t="s">
        <v>187</v>
      </c>
      <c r="C108" s="143" t="s">
        <v>174</v>
      </c>
      <c r="D108" s="143" t="s">
        <v>180</v>
      </c>
      <c r="E108" s="147">
        <v>170</v>
      </c>
      <c r="F108" s="133"/>
      <c r="G108" s="133"/>
      <c r="H108" s="133"/>
      <c r="I108" s="133"/>
    </row>
    <row r="109" spans="1:9" ht="18">
      <c r="A109" s="152" t="str">
        <f t="shared" si="0"/>
        <v>P09Keyboard</v>
      </c>
      <c r="B109" s="150" t="s">
        <v>188</v>
      </c>
      <c r="C109" s="143" t="s">
        <v>189</v>
      </c>
      <c r="D109" s="143" t="s">
        <v>173</v>
      </c>
      <c r="E109" s="147">
        <v>55</v>
      </c>
      <c r="F109" s="133"/>
      <c r="G109" s="133"/>
      <c r="H109" s="133"/>
      <c r="I109" s="133"/>
    </row>
    <row r="110" spans="1:9" ht="18">
      <c r="A110" s="152" t="str">
        <f t="shared" si="0"/>
        <v>P10Mouse 3.0</v>
      </c>
      <c r="B110" s="150" t="s">
        <v>190</v>
      </c>
      <c r="C110" s="143" t="s">
        <v>191</v>
      </c>
      <c r="D110" s="143" t="s">
        <v>175</v>
      </c>
      <c r="E110" s="147">
        <v>77</v>
      </c>
      <c r="F110" s="133"/>
      <c r="G110" s="133"/>
      <c r="H110" s="133"/>
      <c r="I110" s="133"/>
    </row>
    <row r="111" spans="1:9" ht="18">
      <c r="A111" s="152" t="str">
        <f t="shared" si="0"/>
        <v>P11Wireless Mouse</v>
      </c>
      <c r="B111" s="150" t="s">
        <v>192</v>
      </c>
      <c r="C111" s="143" t="s">
        <v>193</v>
      </c>
      <c r="D111" s="143" t="s">
        <v>177</v>
      </c>
      <c r="E111" s="147">
        <v>154</v>
      </c>
      <c r="F111" s="133"/>
      <c r="G111" s="133"/>
      <c r="H111" s="133"/>
      <c r="I111" s="133"/>
    </row>
    <row r="112" spans="1:9" ht="18">
      <c r="A112" s="152" t="str">
        <f t="shared" si="0"/>
        <v>P12HDD 256 GB</v>
      </c>
      <c r="B112" s="151" t="s">
        <v>194</v>
      </c>
      <c r="C112" s="148" t="s">
        <v>195</v>
      </c>
      <c r="D112" s="148" t="s">
        <v>180</v>
      </c>
      <c r="E112" s="136">
        <v>230</v>
      </c>
      <c r="F112" s="133"/>
      <c r="G112" s="133"/>
      <c r="H112" s="133"/>
      <c r="I112" s="133"/>
    </row>
    <row r="115" spans="1:8" ht="18">
      <c r="A115" s="131">
        <v>7</v>
      </c>
      <c r="B115" s="132" t="s">
        <v>216</v>
      </c>
      <c r="C115" s="132"/>
      <c r="D115" s="132"/>
      <c r="E115" s="132"/>
      <c r="F115" s="132"/>
      <c r="G115" s="132"/>
      <c r="H115" s="132"/>
    </row>
    <row r="116" spans="1:8" ht="18">
      <c r="A116" s="133"/>
      <c r="B116" s="133"/>
      <c r="C116" s="133"/>
      <c r="D116" s="133"/>
      <c r="E116" s="133"/>
      <c r="F116" s="133"/>
      <c r="G116" s="133"/>
      <c r="H116" s="133"/>
    </row>
    <row r="117" spans="1:8" ht="18">
      <c r="A117" s="133"/>
      <c r="B117" s="146" t="s">
        <v>168</v>
      </c>
      <c r="C117" s="146" t="s">
        <v>169</v>
      </c>
      <c r="D117" s="146" t="s">
        <v>170</v>
      </c>
      <c r="E117" s="142" t="s">
        <v>171</v>
      </c>
      <c r="F117" s="133"/>
      <c r="G117" s="134" t="s">
        <v>168</v>
      </c>
      <c r="H117" s="155" t="s">
        <v>217</v>
      </c>
    </row>
    <row r="118" spans="1:8" ht="18">
      <c r="A118" s="133"/>
      <c r="B118" s="143" t="s">
        <v>114</v>
      </c>
      <c r="C118" s="143" t="s">
        <v>172</v>
      </c>
      <c r="D118" s="143" t="s">
        <v>173</v>
      </c>
      <c r="E118" s="147">
        <v>100</v>
      </c>
      <c r="F118" s="133"/>
      <c r="G118" s="154" t="s">
        <v>185</v>
      </c>
      <c r="H118" s="154" t="str">
        <f>VLOOKUP(G118,B117:E129,MATCH(H117,B117:E117,0),0)</f>
        <v>South</v>
      </c>
    </row>
    <row r="119" spans="1:8" ht="18">
      <c r="A119" s="133"/>
      <c r="B119" s="143" t="s">
        <v>116</v>
      </c>
      <c r="C119" s="143" t="s">
        <v>174</v>
      </c>
      <c r="D119" s="143" t="s">
        <v>175</v>
      </c>
      <c r="E119" s="147">
        <v>230</v>
      </c>
      <c r="F119" s="133"/>
      <c r="G119" s="133"/>
      <c r="H119" s="133"/>
    </row>
    <row r="120" spans="1:8" ht="18">
      <c r="A120" s="133"/>
      <c r="B120" s="143" t="s">
        <v>119</v>
      </c>
      <c r="C120" s="143" t="s">
        <v>176</v>
      </c>
      <c r="D120" s="143" t="s">
        <v>177</v>
      </c>
      <c r="E120" s="147">
        <v>120</v>
      </c>
      <c r="F120" s="133"/>
      <c r="G120" s="133"/>
      <c r="H120" s="133"/>
    </row>
    <row r="121" spans="1:8" ht="18">
      <c r="A121" s="133"/>
      <c r="B121" s="143" t="s">
        <v>178</v>
      </c>
      <c r="C121" s="143" t="s">
        <v>179</v>
      </c>
      <c r="D121" s="143" t="s">
        <v>180</v>
      </c>
      <c r="E121" s="147">
        <v>144</v>
      </c>
      <c r="F121" s="133"/>
      <c r="G121" s="133"/>
      <c r="H121" s="133"/>
    </row>
    <row r="122" spans="1:8" ht="18">
      <c r="A122" s="133"/>
      <c r="B122" s="143" t="s">
        <v>181</v>
      </c>
      <c r="C122" s="143" t="s">
        <v>182</v>
      </c>
      <c r="D122" s="143" t="s">
        <v>173</v>
      </c>
      <c r="E122" s="147">
        <v>50</v>
      </c>
      <c r="F122" s="133"/>
      <c r="G122" s="133"/>
      <c r="H122" s="133"/>
    </row>
    <row r="123" spans="1:8" ht="18">
      <c r="A123" s="133"/>
      <c r="B123" s="143" t="s">
        <v>183</v>
      </c>
      <c r="C123" s="143" t="s">
        <v>184</v>
      </c>
      <c r="D123" s="143" t="s">
        <v>175</v>
      </c>
      <c r="E123" s="147">
        <v>340</v>
      </c>
      <c r="F123" s="133"/>
      <c r="G123" s="152">
        <v>2</v>
      </c>
      <c r="H123" s="133"/>
    </row>
    <row r="124" spans="1:8" ht="18">
      <c r="A124" s="133"/>
      <c r="B124" s="143" t="s">
        <v>185</v>
      </c>
      <c r="C124" s="143" t="s">
        <v>186</v>
      </c>
      <c r="D124" s="143" t="s">
        <v>177</v>
      </c>
      <c r="E124" s="147">
        <v>210</v>
      </c>
      <c r="F124" s="133"/>
      <c r="G124" s="133"/>
      <c r="H124" s="133"/>
    </row>
    <row r="125" spans="1:8" ht="18">
      <c r="A125" s="133"/>
      <c r="B125" s="143" t="s">
        <v>187</v>
      </c>
      <c r="C125" s="143" t="s">
        <v>174</v>
      </c>
      <c r="D125" s="143" t="s">
        <v>180</v>
      </c>
      <c r="E125" s="147">
        <v>170</v>
      </c>
      <c r="F125" s="133"/>
      <c r="G125" s="133"/>
      <c r="H125" s="133"/>
    </row>
    <row r="126" spans="1:8" ht="18">
      <c r="A126" s="133"/>
      <c r="B126" s="143" t="s">
        <v>188</v>
      </c>
      <c r="C126" s="143" t="s">
        <v>189</v>
      </c>
      <c r="D126" s="143" t="s">
        <v>173</v>
      </c>
      <c r="E126" s="147">
        <v>55</v>
      </c>
      <c r="F126" s="133"/>
      <c r="G126" s="133"/>
      <c r="H126" s="133"/>
    </row>
    <row r="127" spans="1:8" ht="18">
      <c r="A127" s="133"/>
      <c r="B127" s="143" t="s">
        <v>190</v>
      </c>
      <c r="C127" s="143" t="s">
        <v>191</v>
      </c>
      <c r="D127" s="143" t="s">
        <v>175</v>
      </c>
      <c r="E127" s="147">
        <v>77</v>
      </c>
      <c r="F127" s="133"/>
      <c r="G127" s="133"/>
      <c r="H127" s="133"/>
    </row>
    <row r="128" spans="1:8" ht="18">
      <c r="A128" s="133"/>
      <c r="B128" s="143" t="s">
        <v>192</v>
      </c>
      <c r="C128" s="143" t="s">
        <v>193</v>
      </c>
      <c r="D128" s="143" t="s">
        <v>177</v>
      </c>
      <c r="E128" s="147">
        <v>154</v>
      </c>
      <c r="F128" s="133"/>
      <c r="G128" s="133"/>
      <c r="H128" s="133"/>
    </row>
    <row r="129" spans="1:8" ht="18">
      <c r="A129" s="133"/>
      <c r="B129" s="148" t="s">
        <v>194</v>
      </c>
      <c r="C129" s="148" t="s">
        <v>195</v>
      </c>
      <c r="D129" s="148" t="s">
        <v>180</v>
      </c>
      <c r="E129" s="136">
        <v>230</v>
      </c>
      <c r="F129" s="133"/>
      <c r="G129" s="133"/>
      <c r="H129" s="133"/>
    </row>
    <row r="132" spans="1:8" ht="34.5">
      <c r="A132" s="131">
        <v>8</v>
      </c>
      <c r="B132" s="138" t="s">
        <v>218</v>
      </c>
      <c r="C132" s="132"/>
      <c r="D132" s="132"/>
      <c r="E132" s="132"/>
      <c r="F132" s="132"/>
      <c r="G132" s="132"/>
      <c r="H132" s="132"/>
    </row>
    <row r="133" spans="1:8" ht="18">
      <c r="A133" s="133"/>
      <c r="B133" s="139"/>
      <c r="C133" s="133"/>
      <c r="D133" s="133"/>
      <c r="E133" s="133"/>
      <c r="F133" s="133"/>
      <c r="G133" s="133"/>
      <c r="H133" s="133"/>
    </row>
    <row r="134" spans="1:8" ht="18">
      <c r="A134" s="133"/>
      <c r="B134" s="149" t="s">
        <v>168</v>
      </c>
      <c r="C134" s="146" t="s">
        <v>169</v>
      </c>
      <c r="D134" s="146" t="s">
        <v>219</v>
      </c>
      <c r="E134" s="142" t="s">
        <v>171</v>
      </c>
      <c r="F134" s="133"/>
      <c r="G134" s="146" t="s">
        <v>219</v>
      </c>
      <c r="H134" s="155" t="s">
        <v>220</v>
      </c>
    </row>
    <row r="135" spans="1:8" ht="18">
      <c r="A135" s="133"/>
      <c r="B135" s="150" t="s">
        <v>114</v>
      </c>
      <c r="C135" s="143" t="s">
        <v>172</v>
      </c>
      <c r="D135" s="143" t="s">
        <v>221</v>
      </c>
      <c r="E135" s="147">
        <v>100</v>
      </c>
      <c r="F135" s="133"/>
      <c r="G135" s="136" t="s">
        <v>222</v>
      </c>
      <c r="H135" s="154" t="str">
        <f>VLOOKUP(G135,CHOOSE({1,2},D134:D146,C134:C146),2,0)</f>
        <v>Speaker</v>
      </c>
    </row>
    <row r="136" spans="1:8" ht="18">
      <c r="A136" s="133"/>
      <c r="B136" s="150" t="s">
        <v>116</v>
      </c>
      <c r="C136" s="143" t="s">
        <v>174</v>
      </c>
      <c r="D136" s="143" t="s">
        <v>223</v>
      </c>
      <c r="E136" s="147">
        <v>230</v>
      </c>
      <c r="F136" s="133"/>
      <c r="G136" s="133"/>
      <c r="H136" s="133"/>
    </row>
    <row r="137" spans="1:8" ht="18">
      <c r="A137" s="133"/>
      <c r="B137" s="150" t="s">
        <v>119</v>
      </c>
      <c r="C137" s="143" t="s">
        <v>176</v>
      </c>
      <c r="D137" s="143" t="s">
        <v>224</v>
      </c>
      <c r="E137" s="147">
        <v>120</v>
      </c>
      <c r="F137" s="133"/>
      <c r="G137" s="133"/>
      <c r="H137" s="133"/>
    </row>
    <row r="138" spans="1:8" ht="18">
      <c r="A138" s="133"/>
      <c r="B138" s="150" t="s">
        <v>178</v>
      </c>
      <c r="C138" s="143" t="s">
        <v>179</v>
      </c>
      <c r="D138" s="143" t="s">
        <v>225</v>
      </c>
      <c r="E138" s="147">
        <v>144</v>
      </c>
      <c r="F138" s="133"/>
      <c r="G138" s="133"/>
      <c r="H138" s="133"/>
    </row>
    <row r="139" spans="1:8" ht="18">
      <c r="A139" s="133"/>
      <c r="B139" s="150" t="s">
        <v>181</v>
      </c>
      <c r="C139" s="143" t="s">
        <v>182</v>
      </c>
      <c r="D139" s="143" t="s">
        <v>226</v>
      </c>
      <c r="E139" s="147">
        <v>50</v>
      </c>
      <c r="F139" s="133"/>
      <c r="G139" s="133"/>
      <c r="H139" s="133"/>
    </row>
    <row r="140" spans="1:8" ht="18">
      <c r="A140" s="133"/>
      <c r="B140" s="150" t="s">
        <v>183</v>
      </c>
      <c r="C140" s="143" t="s">
        <v>184</v>
      </c>
      <c r="D140" s="143" t="s">
        <v>222</v>
      </c>
      <c r="E140" s="147">
        <v>340</v>
      </c>
      <c r="F140" s="133"/>
      <c r="G140" s="133"/>
      <c r="H140" s="133"/>
    </row>
    <row r="141" spans="1:8" ht="18">
      <c r="A141" s="133"/>
      <c r="B141" s="150" t="s">
        <v>185</v>
      </c>
      <c r="C141" s="143" t="s">
        <v>186</v>
      </c>
      <c r="D141" s="143" t="s">
        <v>227</v>
      </c>
      <c r="E141" s="147">
        <v>210</v>
      </c>
      <c r="F141" s="133"/>
      <c r="G141" s="133"/>
      <c r="H141" s="133"/>
    </row>
    <row r="142" spans="1:8" ht="18">
      <c r="A142" s="133"/>
      <c r="B142" s="150" t="s">
        <v>187</v>
      </c>
      <c r="C142" s="143" t="s">
        <v>174</v>
      </c>
      <c r="D142" s="143" t="s">
        <v>228</v>
      </c>
      <c r="E142" s="147">
        <v>170</v>
      </c>
      <c r="F142" s="133"/>
      <c r="G142" s="133"/>
      <c r="H142" s="133"/>
    </row>
    <row r="143" spans="1:8" ht="18">
      <c r="A143" s="133"/>
      <c r="B143" s="150" t="s">
        <v>188</v>
      </c>
      <c r="C143" s="143" t="s">
        <v>189</v>
      </c>
      <c r="D143" s="143" t="s">
        <v>229</v>
      </c>
      <c r="E143" s="147">
        <v>55</v>
      </c>
      <c r="F143" s="133"/>
      <c r="G143" s="133"/>
      <c r="H143" s="133"/>
    </row>
    <row r="144" spans="1:8" ht="18">
      <c r="A144" s="133"/>
      <c r="B144" s="150" t="s">
        <v>190</v>
      </c>
      <c r="C144" s="143" t="s">
        <v>191</v>
      </c>
      <c r="D144" s="143" t="s">
        <v>230</v>
      </c>
      <c r="E144" s="147">
        <v>77</v>
      </c>
      <c r="F144" s="133"/>
      <c r="G144" s="133"/>
      <c r="H144" s="133"/>
    </row>
    <row r="145" spans="1:12" ht="18">
      <c r="A145" s="133"/>
      <c r="B145" s="150" t="s">
        <v>192</v>
      </c>
      <c r="C145" s="143" t="s">
        <v>193</v>
      </c>
      <c r="D145" s="143" t="s">
        <v>231</v>
      </c>
      <c r="E145" s="147">
        <v>154</v>
      </c>
      <c r="F145" s="133"/>
      <c r="G145" s="133"/>
      <c r="H145" s="133"/>
    </row>
    <row r="146" spans="1:12" ht="18">
      <c r="A146" s="133"/>
      <c r="B146" s="151" t="s">
        <v>194</v>
      </c>
      <c r="C146" s="148" t="s">
        <v>195</v>
      </c>
      <c r="D146" s="143" t="s">
        <v>232</v>
      </c>
      <c r="E146" s="136">
        <v>230</v>
      </c>
      <c r="F146" s="133"/>
      <c r="G146" s="133"/>
      <c r="H146" s="133"/>
    </row>
    <row r="149" spans="1:12" ht="18">
      <c r="A149" s="131">
        <v>9</v>
      </c>
      <c r="B149" s="132" t="s">
        <v>233</v>
      </c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</row>
    <row r="150" spans="1:12" ht="18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</row>
    <row r="151" spans="1:12" ht="18">
      <c r="A151" s="133"/>
      <c r="B151" s="146" t="s">
        <v>168</v>
      </c>
      <c r="C151" s="146" t="s">
        <v>169</v>
      </c>
      <c r="D151" s="156" t="s">
        <v>234</v>
      </c>
      <c r="E151" s="156" t="s">
        <v>235</v>
      </c>
      <c r="F151" s="156" t="s">
        <v>236</v>
      </c>
      <c r="G151" s="156" t="s">
        <v>237</v>
      </c>
      <c r="H151" s="133"/>
      <c r="I151" s="146" t="s">
        <v>168</v>
      </c>
      <c r="J151" s="142" t="s">
        <v>234</v>
      </c>
      <c r="K151" s="142" t="s">
        <v>235</v>
      </c>
      <c r="L151" s="142" t="s">
        <v>236</v>
      </c>
    </row>
    <row r="152" spans="1:12" ht="18">
      <c r="A152" s="133"/>
      <c r="B152" s="143" t="s">
        <v>114</v>
      </c>
      <c r="C152" s="143" t="s">
        <v>172</v>
      </c>
      <c r="D152" s="136">
        <v>1200</v>
      </c>
      <c r="E152" s="136">
        <v>70000</v>
      </c>
      <c r="F152" s="136">
        <v>1200</v>
      </c>
      <c r="G152" s="136">
        <v>2300</v>
      </c>
      <c r="H152" s="133"/>
      <c r="I152" s="136" t="s">
        <v>185</v>
      </c>
      <c r="J152" s="135" cm="1">
        <f t="array" ref="J152:L152">VLOOKUP(I152,B151:G163,{3,4,5},FALSE)</f>
        <v>54000</v>
      </c>
      <c r="K152" s="135">
        <v>7800</v>
      </c>
      <c r="L152" s="135">
        <v>23900</v>
      </c>
    </row>
    <row r="153" spans="1:12" ht="18">
      <c r="A153" s="133"/>
      <c r="B153" s="143" t="s">
        <v>116</v>
      </c>
      <c r="C153" s="143" t="s">
        <v>174</v>
      </c>
      <c r="D153" s="136">
        <v>2300</v>
      </c>
      <c r="E153" s="136">
        <v>50000</v>
      </c>
      <c r="F153" s="136">
        <v>2330</v>
      </c>
      <c r="G153" s="136">
        <v>540000</v>
      </c>
      <c r="H153" s="133"/>
      <c r="I153" s="133"/>
      <c r="J153" s="133"/>
      <c r="K153" s="133"/>
      <c r="L153" s="133"/>
    </row>
    <row r="154" spans="1:12" ht="18">
      <c r="A154" s="133"/>
      <c r="B154" s="143" t="s">
        <v>119</v>
      </c>
      <c r="C154" s="143" t="s">
        <v>176</v>
      </c>
      <c r="D154" s="136">
        <v>34000</v>
      </c>
      <c r="E154" s="136">
        <v>3400</v>
      </c>
      <c r="F154" s="136">
        <v>54000</v>
      </c>
      <c r="G154" s="136">
        <v>7800</v>
      </c>
      <c r="H154" s="133"/>
      <c r="I154" s="133"/>
      <c r="J154" s="133"/>
      <c r="K154" s="133"/>
      <c r="L154" s="133"/>
    </row>
    <row r="155" spans="1:12" ht="18">
      <c r="A155" s="133"/>
      <c r="B155" s="143" t="s">
        <v>178</v>
      </c>
      <c r="C155" s="143" t="s">
        <v>179</v>
      </c>
      <c r="D155" s="136">
        <v>45000</v>
      </c>
      <c r="E155" s="136">
        <v>3400</v>
      </c>
      <c r="F155" s="136">
        <v>6500</v>
      </c>
      <c r="G155" s="136">
        <v>3400</v>
      </c>
      <c r="H155" s="133"/>
      <c r="I155" s="133"/>
      <c r="J155" s="133"/>
      <c r="K155" s="133"/>
      <c r="L155" s="133"/>
    </row>
    <row r="156" spans="1:12" ht="18">
      <c r="A156" s="133"/>
      <c r="B156" s="143" t="s">
        <v>181</v>
      </c>
      <c r="C156" s="143" t="s">
        <v>182</v>
      </c>
      <c r="D156" s="136">
        <v>1200</v>
      </c>
      <c r="E156" s="136">
        <v>2300</v>
      </c>
      <c r="F156" s="136">
        <v>44500</v>
      </c>
      <c r="G156" s="136">
        <v>2300</v>
      </c>
      <c r="H156" s="133"/>
      <c r="I156" s="133"/>
      <c r="J156" s="133"/>
      <c r="K156" s="133"/>
      <c r="L156" s="133"/>
    </row>
    <row r="157" spans="1:12" ht="18">
      <c r="A157" s="133"/>
      <c r="B157" s="143" t="s">
        <v>183</v>
      </c>
      <c r="C157" s="143" t="s">
        <v>184</v>
      </c>
      <c r="D157" s="136">
        <v>2330</v>
      </c>
      <c r="E157" s="136">
        <v>540000</v>
      </c>
      <c r="F157" s="136">
        <v>4300</v>
      </c>
      <c r="G157" s="136">
        <v>5440</v>
      </c>
      <c r="H157" s="133"/>
      <c r="I157" s="133"/>
      <c r="J157" s="133"/>
      <c r="K157" s="133"/>
      <c r="L157" s="133"/>
    </row>
    <row r="158" spans="1:12" ht="18">
      <c r="A158" s="133"/>
      <c r="B158" s="143" t="s">
        <v>185</v>
      </c>
      <c r="C158" s="143" t="s">
        <v>186</v>
      </c>
      <c r="D158" s="136">
        <v>54000</v>
      </c>
      <c r="E158" s="136">
        <v>7800</v>
      </c>
      <c r="F158" s="136">
        <v>23900</v>
      </c>
      <c r="G158" s="136">
        <v>8700</v>
      </c>
      <c r="H158" s="133"/>
      <c r="I158" s="133"/>
      <c r="J158" s="133"/>
      <c r="K158" s="133"/>
      <c r="L158" s="133"/>
    </row>
    <row r="159" spans="1:12" ht="18">
      <c r="A159" s="133"/>
      <c r="B159" s="143" t="s">
        <v>187</v>
      </c>
      <c r="C159" s="143" t="s">
        <v>174</v>
      </c>
      <c r="D159" s="136">
        <v>6500</v>
      </c>
      <c r="E159" s="136">
        <v>3400</v>
      </c>
      <c r="F159" s="136">
        <v>3400</v>
      </c>
      <c r="G159" s="136">
        <v>54000</v>
      </c>
      <c r="H159" s="133"/>
      <c r="I159" s="133"/>
      <c r="J159" s="133"/>
      <c r="K159" s="133"/>
      <c r="L159" s="133"/>
    </row>
    <row r="160" spans="1:12" ht="18">
      <c r="A160" s="133"/>
      <c r="B160" s="143" t="s">
        <v>188</v>
      </c>
      <c r="C160" s="143" t="s">
        <v>189</v>
      </c>
      <c r="D160" s="136">
        <v>44500</v>
      </c>
      <c r="E160" s="136">
        <v>2300</v>
      </c>
      <c r="F160" s="136">
        <v>3400</v>
      </c>
      <c r="G160" s="136">
        <v>6500</v>
      </c>
      <c r="H160" s="133"/>
      <c r="I160" s="133"/>
      <c r="J160" s="133"/>
      <c r="K160" s="133"/>
      <c r="L160" s="133"/>
    </row>
    <row r="161" spans="1:12" ht="18">
      <c r="A161" s="133"/>
      <c r="B161" s="143" t="s">
        <v>190</v>
      </c>
      <c r="C161" s="143" t="s">
        <v>191</v>
      </c>
      <c r="D161" s="136">
        <v>4300</v>
      </c>
      <c r="E161" s="136">
        <v>5440</v>
      </c>
      <c r="F161" s="136">
        <v>2300</v>
      </c>
      <c r="G161" s="136">
        <v>44500</v>
      </c>
      <c r="H161" s="133"/>
      <c r="I161" s="133"/>
      <c r="J161" s="133"/>
      <c r="K161" s="133"/>
      <c r="L161" s="133"/>
    </row>
    <row r="162" spans="1:12" ht="18">
      <c r="A162" s="133"/>
      <c r="B162" s="143" t="s">
        <v>192</v>
      </c>
      <c r="C162" s="143" t="s">
        <v>193</v>
      </c>
      <c r="D162" s="136">
        <v>23900</v>
      </c>
      <c r="E162" s="136">
        <v>8700</v>
      </c>
      <c r="F162" s="136">
        <v>540000</v>
      </c>
      <c r="G162" s="136">
        <v>4300</v>
      </c>
      <c r="H162" s="133"/>
      <c r="I162" s="133"/>
      <c r="J162" s="133"/>
      <c r="K162" s="133"/>
      <c r="L162" s="133"/>
    </row>
    <row r="163" spans="1:12" ht="18">
      <c r="A163" s="133"/>
      <c r="B163" s="148" t="s">
        <v>194</v>
      </c>
      <c r="C163" s="148" t="s">
        <v>195</v>
      </c>
      <c r="D163" s="136">
        <v>23000</v>
      </c>
      <c r="E163" s="136">
        <v>23000</v>
      </c>
      <c r="F163" s="136">
        <v>2300</v>
      </c>
      <c r="G163" s="136">
        <v>44500</v>
      </c>
      <c r="H163" s="133"/>
      <c r="I163" s="133"/>
      <c r="J163" s="133"/>
      <c r="K163" s="133"/>
      <c r="L163" s="133"/>
    </row>
    <row r="164" spans="1:12" ht="18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</row>
    <row r="165" spans="1:12" ht="18">
      <c r="A165" s="133"/>
      <c r="B165" s="146" t="s">
        <v>168</v>
      </c>
      <c r="C165" s="146" t="s">
        <v>169</v>
      </c>
      <c r="D165" s="142" t="s">
        <v>234</v>
      </c>
      <c r="E165" s="142" t="s">
        <v>235</v>
      </c>
      <c r="F165" s="142" t="s">
        <v>236</v>
      </c>
      <c r="G165" s="142" t="s">
        <v>237</v>
      </c>
      <c r="H165" s="133"/>
      <c r="I165" s="133"/>
      <c r="J165" s="133"/>
      <c r="K165" s="133"/>
      <c r="L165" s="133"/>
    </row>
    <row r="166" spans="1:12" ht="18">
      <c r="A166" s="133"/>
      <c r="B166" s="135" t="s">
        <v>194</v>
      </c>
      <c r="C166" s="135" t="str" cm="1">
        <f t="array" ref="C166:G166">VLOOKUP(B166,B151:G163,{2,3,4,5,6},0)</f>
        <v>HDD 256 GB</v>
      </c>
      <c r="D166" s="135">
        <v>23000</v>
      </c>
      <c r="E166" s="135">
        <v>23000</v>
      </c>
      <c r="F166" s="135">
        <v>2300</v>
      </c>
      <c r="G166" s="135">
        <v>44500</v>
      </c>
      <c r="H166" s="133"/>
      <c r="I166" s="133"/>
      <c r="J166" s="133"/>
      <c r="K166" s="133"/>
      <c r="L166" s="133"/>
    </row>
    <row r="167" spans="1:12" ht="18">
      <c r="B167" t="s">
        <v>192</v>
      </c>
      <c r="C167" s="135" t="str" cm="1">
        <f t="array" ref="C167:G167">VLOOKUP(B167,B152:G164,{2,3,4,5,6},0)</f>
        <v>Wireless Mouse</v>
      </c>
      <c r="D167">
        <v>23900</v>
      </c>
      <c r="E167">
        <v>8700</v>
      </c>
      <c r="F167">
        <v>540000</v>
      </c>
      <c r="G167">
        <v>4300</v>
      </c>
    </row>
    <row r="169" spans="1:12" ht="18">
      <c r="A169" s="131">
        <v>10</v>
      </c>
      <c r="B169" s="132" t="s">
        <v>238</v>
      </c>
      <c r="C169" s="132"/>
      <c r="D169" s="132"/>
      <c r="E169" s="132"/>
      <c r="F169" s="132"/>
      <c r="G169" s="132"/>
      <c r="H169" s="132"/>
      <c r="I169" s="132"/>
      <c r="J169" s="132"/>
    </row>
    <row r="170" spans="1:12" ht="18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</row>
    <row r="171" spans="1:12" ht="18">
      <c r="A171" s="133"/>
      <c r="B171" s="146" t="s">
        <v>168</v>
      </c>
      <c r="C171" s="146" t="s">
        <v>169</v>
      </c>
      <c r="D171" s="156" t="s">
        <v>234</v>
      </c>
      <c r="E171" s="156" t="s">
        <v>235</v>
      </c>
      <c r="F171" s="156" t="s">
        <v>236</v>
      </c>
      <c r="G171" s="156" t="s">
        <v>237</v>
      </c>
      <c r="H171" s="133"/>
      <c r="I171" s="146" t="s">
        <v>168</v>
      </c>
      <c r="J171" s="142" t="s">
        <v>239</v>
      </c>
    </row>
    <row r="172" spans="1:12" ht="21.75" customHeight="1">
      <c r="A172" s="133"/>
      <c r="B172" s="143" t="s">
        <v>114</v>
      </c>
      <c r="C172" s="143" t="s">
        <v>172</v>
      </c>
      <c r="D172" s="136">
        <v>1200</v>
      </c>
      <c r="E172" s="136">
        <v>70000</v>
      </c>
      <c r="F172" s="136">
        <v>1200</v>
      </c>
      <c r="G172" s="136">
        <v>2300</v>
      </c>
      <c r="H172" s="133"/>
      <c r="I172" s="136" t="s">
        <v>185</v>
      </c>
      <c r="J172" s="137" cm="1">
        <f t="array" ref="J172">SUM(VLOOKUP(I172,B171:G183,{3,4,5,6},TRUE))</f>
        <v>94400</v>
      </c>
    </row>
    <row r="173" spans="1:12" ht="18">
      <c r="A173" s="133"/>
      <c r="B173" s="143" t="s">
        <v>116</v>
      </c>
      <c r="C173" s="143" t="s">
        <v>174</v>
      </c>
      <c r="D173" s="136">
        <v>2300</v>
      </c>
      <c r="E173" s="136">
        <v>50000</v>
      </c>
      <c r="F173" s="136">
        <v>2330</v>
      </c>
      <c r="G173" s="136">
        <v>540000</v>
      </c>
      <c r="H173" s="133"/>
      <c r="I173" s="133"/>
      <c r="J173" s="133"/>
    </row>
    <row r="174" spans="1:12" ht="18">
      <c r="A174" s="133"/>
      <c r="B174" s="143" t="s">
        <v>119</v>
      </c>
      <c r="C174" s="143" t="s">
        <v>176</v>
      </c>
      <c r="D174" s="136">
        <v>34000</v>
      </c>
      <c r="E174" s="136">
        <v>3400</v>
      </c>
      <c r="F174" s="136">
        <v>54000</v>
      </c>
      <c r="G174" s="136">
        <v>7800</v>
      </c>
      <c r="H174" s="133"/>
      <c r="I174" s="133"/>
      <c r="J174" s="133"/>
    </row>
    <row r="175" spans="1:12" ht="18">
      <c r="A175" s="133"/>
      <c r="B175" s="143" t="s">
        <v>178</v>
      </c>
      <c r="C175" s="143" t="s">
        <v>179</v>
      </c>
      <c r="D175" s="136">
        <v>45000</v>
      </c>
      <c r="E175" s="136">
        <v>3400</v>
      </c>
      <c r="F175" s="136">
        <v>6500</v>
      </c>
      <c r="G175" s="136">
        <v>3400</v>
      </c>
      <c r="H175" s="133"/>
      <c r="I175" s="133"/>
      <c r="J175" s="133"/>
    </row>
    <row r="176" spans="1:12" ht="18">
      <c r="A176" s="133"/>
      <c r="B176" s="143" t="s">
        <v>181</v>
      </c>
      <c r="C176" s="143" t="s">
        <v>182</v>
      </c>
      <c r="D176" s="136">
        <v>1200</v>
      </c>
      <c r="E176" s="136">
        <v>2300</v>
      </c>
      <c r="F176" s="136">
        <v>44500</v>
      </c>
      <c r="G176" s="136">
        <v>2300</v>
      </c>
      <c r="H176" s="133"/>
      <c r="I176" s="133"/>
      <c r="J176" s="133"/>
    </row>
    <row r="177" spans="1:10" ht="18">
      <c r="A177" s="133"/>
      <c r="B177" s="143" t="s">
        <v>183</v>
      </c>
      <c r="C177" s="143" t="s">
        <v>184</v>
      </c>
      <c r="D177" s="136">
        <v>2330</v>
      </c>
      <c r="E177" s="136">
        <v>540000</v>
      </c>
      <c r="F177" s="136">
        <v>4300</v>
      </c>
      <c r="G177" s="136">
        <v>5440</v>
      </c>
      <c r="H177" s="133"/>
      <c r="I177" s="133"/>
      <c r="J177" s="133"/>
    </row>
    <row r="178" spans="1:10" ht="18">
      <c r="A178" s="133"/>
      <c r="B178" s="143" t="s">
        <v>185</v>
      </c>
      <c r="C178" s="143" t="s">
        <v>186</v>
      </c>
      <c r="D178" s="136">
        <v>54000</v>
      </c>
      <c r="E178" s="136">
        <v>7800</v>
      </c>
      <c r="F178" s="136">
        <v>23900</v>
      </c>
      <c r="G178" s="136">
        <v>8700</v>
      </c>
      <c r="H178" s="133"/>
      <c r="I178" s="133"/>
      <c r="J178" s="133"/>
    </row>
    <row r="179" spans="1:10" ht="18">
      <c r="A179" s="133"/>
      <c r="B179" s="143" t="s">
        <v>187</v>
      </c>
      <c r="C179" s="143" t="s">
        <v>174</v>
      </c>
      <c r="D179" s="136">
        <v>6500</v>
      </c>
      <c r="E179" s="136">
        <v>3400</v>
      </c>
      <c r="F179" s="136">
        <v>3400</v>
      </c>
      <c r="G179" s="136">
        <v>54000</v>
      </c>
      <c r="H179" s="133"/>
      <c r="I179" s="133"/>
      <c r="J179" s="133"/>
    </row>
    <row r="180" spans="1:10" ht="18">
      <c r="A180" s="133"/>
      <c r="B180" s="143" t="s">
        <v>188</v>
      </c>
      <c r="C180" s="143" t="s">
        <v>189</v>
      </c>
      <c r="D180" s="136">
        <v>44500</v>
      </c>
      <c r="E180" s="136">
        <v>2300</v>
      </c>
      <c r="F180" s="136">
        <v>3400</v>
      </c>
      <c r="G180" s="136">
        <v>6500</v>
      </c>
      <c r="H180" s="133"/>
      <c r="I180" s="133"/>
      <c r="J180" s="133"/>
    </row>
    <row r="181" spans="1:10" ht="18">
      <c r="A181" s="133"/>
      <c r="B181" s="143" t="s">
        <v>190</v>
      </c>
      <c r="C181" s="143" t="s">
        <v>191</v>
      </c>
      <c r="D181" s="136">
        <v>4300</v>
      </c>
      <c r="E181" s="136">
        <v>5440</v>
      </c>
      <c r="F181" s="136">
        <v>2300</v>
      </c>
      <c r="G181" s="136">
        <v>44500</v>
      </c>
      <c r="H181" s="133"/>
      <c r="I181" s="133"/>
      <c r="J181" s="133"/>
    </row>
    <row r="182" spans="1:10" ht="18">
      <c r="A182" s="133"/>
      <c r="B182" s="143" t="s">
        <v>192</v>
      </c>
      <c r="C182" s="143" t="s">
        <v>193</v>
      </c>
      <c r="D182" s="136">
        <v>23900</v>
      </c>
      <c r="E182" s="136">
        <v>8700</v>
      </c>
      <c r="F182" s="136">
        <v>540000</v>
      </c>
      <c r="G182" s="136">
        <v>4300</v>
      </c>
      <c r="H182" s="133"/>
      <c r="I182" s="133"/>
      <c r="J182" s="133"/>
    </row>
    <row r="183" spans="1:10" ht="18">
      <c r="A183" s="133"/>
      <c r="B183" s="148" t="s">
        <v>194</v>
      </c>
      <c r="C183" s="148" t="s">
        <v>195</v>
      </c>
      <c r="D183" s="136">
        <v>23000</v>
      </c>
      <c r="E183" s="136">
        <v>23000</v>
      </c>
      <c r="F183" s="136">
        <v>2300</v>
      </c>
      <c r="G183" s="136">
        <v>44500</v>
      </c>
      <c r="H183" s="133"/>
      <c r="I183" s="133"/>
      <c r="J183" s="133"/>
    </row>
  </sheetData>
  <dataValidations count="2">
    <dataValidation allowBlank="1" showInputMessage="1" showErrorMessage="1" sqref="G63" xr:uid="{E40033BE-DF3C-4F76-B754-161E73D0659C}"/>
    <dataValidation type="list" allowBlank="1" showInputMessage="1" showErrorMessage="1" sqref="G64" xr:uid="{0038C292-DB0D-4D6A-997F-429933F16114}">
      <formula1>$B$63:$B$79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0329-5CB2-42A1-9792-2DC4DF07A42E}">
  <dimension ref="A1:R251"/>
  <sheetViews>
    <sheetView topLeftCell="G221" workbookViewId="0">
      <selection activeCell="P227" sqref="P227"/>
    </sheetView>
  </sheetViews>
  <sheetFormatPr defaultRowHeight="15"/>
  <cols>
    <col min="2" max="2" width="14.7109375" bestFit="1" customWidth="1"/>
    <col min="3" max="3" width="12.7109375" bestFit="1" customWidth="1"/>
    <col min="4" max="4" width="20" bestFit="1" customWidth="1"/>
    <col min="5" max="5" width="14.7109375" bestFit="1" customWidth="1"/>
    <col min="6" max="6" width="11.140625" bestFit="1" customWidth="1"/>
    <col min="7" max="7" width="36.5703125" bestFit="1" customWidth="1"/>
    <col min="8" max="8" width="18.85546875" bestFit="1" customWidth="1"/>
    <col min="9" max="9" width="12.7109375" bestFit="1" customWidth="1"/>
  </cols>
  <sheetData>
    <row r="1" spans="1:11" ht="15" customHeight="1">
      <c r="A1" s="192"/>
      <c r="B1" s="246" t="s">
        <v>240</v>
      </c>
      <c r="C1" s="246"/>
      <c r="D1" s="246"/>
      <c r="E1" s="246"/>
      <c r="F1" s="246"/>
      <c r="G1" s="246"/>
      <c r="H1" s="246"/>
      <c r="I1" s="246"/>
      <c r="J1" s="246"/>
      <c r="K1" s="246"/>
    </row>
    <row r="2" spans="1:11" ht="18">
      <c r="A2" s="193"/>
      <c r="B2" s="193"/>
      <c r="C2" s="193"/>
      <c r="D2" s="193"/>
      <c r="E2" s="193"/>
      <c r="F2" s="193"/>
      <c r="G2" s="209"/>
      <c r="H2" s="193"/>
      <c r="I2" s="193"/>
      <c r="J2" s="193"/>
      <c r="K2" s="193"/>
    </row>
    <row r="3" spans="1:11" ht="18">
      <c r="A3" s="193"/>
      <c r="B3" s="193"/>
      <c r="C3" s="193"/>
      <c r="D3" s="193"/>
      <c r="E3" s="193"/>
      <c r="F3" s="193"/>
      <c r="G3" s="209"/>
      <c r="H3" s="193"/>
      <c r="I3" s="193"/>
      <c r="J3" s="193"/>
      <c r="K3" s="193"/>
    </row>
    <row r="4" spans="1:11" ht="18">
      <c r="A4" s="193"/>
      <c r="B4" s="194" t="s">
        <v>61</v>
      </c>
      <c r="C4" s="195" t="s">
        <v>241</v>
      </c>
      <c r="D4" s="195" t="s">
        <v>242</v>
      </c>
      <c r="E4" s="195" t="s">
        <v>243</v>
      </c>
      <c r="F4" s="195" t="s">
        <v>244</v>
      </c>
      <c r="G4" s="210" t="s">
        <v>245</v>
      </c>
      <c r="H4" s="195" t="s">
        <v>246</v>
      </c>
      <c r="I4" s="195" t="s">
        <v>247</v>
      </c>
      <c r="J4" s="193"/>
      <c r="K4" s="193"/>
    </row>
    <row r="5" spans="1:11" ht="18">
      <c r="A5" s="193"/>
      <c r="B5" s="196">
        <v>1</v>
      </c>
      <c r="C5" s="197" t="s">
        <v>248</v>
      </c>
      <c r="D5" s="197">
        <v>23</v>
      </c>
      <c r="E5" s="197">
        <v>43</v>
      </c>
      <c r="F5" s="197">
        <v>45</v>
      </c>
      <c r="G5" s="211">
        <v>111</v>
      </c>
      <c r="H5" s="197">
        <v>55.5</v>
      </c>
      <c r="I5" s="198">
        <v>4</v>
      </c>
      <c r="J5" s="193"/>
      <c r="K5" s="193"/>
    </row>
    <row r="6" spans="1:11" ht="18">
      <c r="A6" s="193"/>
      <c r="B6" s="196">
        <v>2</v>
      </c>
      <c r="C6" s="197" t="s">
        <v>249</v>
      </c>
      <c r="D6" s="197">
        <v>45</v>
      </c>
      <c r="E6" s="197">
        <v>54</v>
      </c>
      <c r="F6" s="197">
        <v>34</v>
      </c>
      <c r="G6" s="211">
        <v>133</v>
      </c>
      <c r="H6" s="197">
        <v>66.5</v>
      </c>
      <c r="I6" s="198">
        <v>1</v>
      </c>
      <c r="J6" s="193"/>
      <c r="K6" s="193"/>
    </row>
    <row r="7" spans="1:11" ht="18">
      <c r="A7" s="193"/>
      <c r="B7" s="196">
        <v>3</v>
      </c>
      <c r="C7" s="197" t="s">
        <v>250</v>
      </c>
      <c r="D7" s="197">
        <v>54</v>
      </c>
      <c r="E7" s="197">
        <v>56</v>
      </c>
      <c r="F7" s="197">
        <v>5</v>
      </c>
      <c r="G7" s="211">
        <v>115</v>
      </c>
      <c r="H7" s="197">
        <v>57.5</v>
      </c>
      <c r="I7" s="198">
        <v>3</v>
      </c>
      <c r="J7" s="193"/>
      <c r="K7" s="193"/>
    </row>
    <row r="8" spans="1:11" ht="18">
      <c r="A8" s="193"/>
      <c r="B8" s="199">
        <v>4</v>
      </c>
      <c r="C8" s="200" t="s">
        <v>251</v>
      </c>
      <c r="D8" s="200">
        <v>34</v>
      </c>
      <c r="E8" s="200">
        <v>43</v>
      </c>
      <c r="F8" s="200">
        <v>43</v>
      </c>
      <c r="G8" s="212">
        <v>120</v>
      </c>
      <c r="H8" s="200">
        <v>60</v>
      </c>
      <c r="I8" s="198">
        <v>2</v>
      </c>
      <c r="J8" s="193"/>
      <c r="K8" s="193"/>
    </row>
    <row r="9" spans="1:11" ht="18">
      <c r="A9" s="193"/>
      <c r="B9" s="193"/>
      <c r="C9" s="193"/>
      <c r="D9" s="193"/>
      <c r="E9" s="193"/>
      <c r="F9" s="193"/>
      <c r="G9" s="209"/>
      <c r="H9" s="193"/>
      <c r="I9" s="193"/>
      <c r="J9" s="193"/>
      <c r="K9" s="193"/>
    </row>
    <row r="10" spans="1:11" ht="18">
      <c r="A10" s="193"/>
      <c r="B10" s="193"/>
      <c r="C10" s="193"/>
      <c r="D10" s="193"/>
      <c r="E10" s="193"/>
      <c r="F10" s="193"/>
      <c r="G10" s="209"/>
      <c r="H10" s="193"/>
      <c r="I10" s="193"/>
      <c r="J10" s="193"/>
      <c r="K10" s="193"/>
    </row>
    <row r="11" spans="1:11" ht="18">
      <c r="A11" s="193"/>
      <c r="B11" s="193"/>
      <c r="C11" s="193"/>
      <c r="D11" s="193"/>
      <c r="E11" s="193"/>
      <c r="F11" s="193"/>
      <c r="G11" s="209"/>
      <c r="H11" s="193"/>
      <c r="I11" s="193"/>
      <c r="J11" s="193"/>
      <c r="K11" s="193"/>
    </row>
    <row r="12" spans="1:11" ht="18">
      <c r="A12" s="193"/>
      <c r="B12" s="193"/>
      <c r="C12" s="193"/>
      <c r="D12" s="193"/>
      <c r="E12" s="193"/>
      <c r="F12" s="193"/>
      <c r="G12" s="209"/>
      <c r="H12" s="193"/>
      <c r="I12" s="193"/>
      <c r="J12" s="193"/>
      <c r="K12" s="193"/>
    </row>
    <row r="13" spans="1:11" ht="18">
      <c r="A13" s="193"/>
      <c r="B13" s="193"/>
      <c r="C13" s="193"/>
      <c r="D13" s="193"/>
      <c r="E13" s="193"/>
      <c r="F13" s="193"/>
      <c r="G13" s="209"/>
      <c r="H13" s="193"/>
      <c r="I13" s="193"/>
      <c r="J13" s="193"/>
      <c r="K13" s="193"/>
    </row>
    <row r="14" spans="1:11" ht="18">
      <c r="A14" s="193"/>
      <c r="B14" s="193"/>
      <c r="C14" s="201" t="s">
        <v>252</v>
      </c>
      <c r="D14" s="197">
        <v>54</v>
      </c>
      <c r="E14" s="197">
        <v>56</v>
      </c>
      <c r="F14" s="197">
        <v>45</v>
      </c>
      <c r="G14" s="211">
        <v>133</v>
      </c>
      <c r="H14" s="197">
        <v>66.5</v>
      </c>
      <c r="I14" s="193"/>
      <c r="J14" s="193"/>
      <c r="K14" s="193"/>
    </row>
    <row r="15" spans="1:11" ht="18">
      <c r="A15" s="193"/>
      <c r="B15" s="193"/>
      <c r="C15" s="201" t="s">
        <v>253</v>
      </c>
      <c r="D15" s="197">
        <v>23</v>
      </c>
      <c r="E15" s="197">
        <v>43</v>
      </c>
      <c r="F15" s="197">
        <v>5</v>
      </c>
      <c r="G15" s="211">
        <v>111</v>
      </c>
      <c r="H15" s="197">
        <v>55.5</v>
      </c>
      <c r="I15" s="193"/>
      <c r="J15" s="193"/>
      <c r="K15" s="193"/>
    </row>
    <row r="16" spans="1:11" ht="18">
      <c r="A16" s="193"/>
      <c r="B16" s="193"/>
      <c r="C16" s="193"/>
      <c r="D16" s="193"/>
      <c r="E16" s="193"/>
      <c r="F16" s="193"/>
      <c r="G16" s="209"/>
      <c r="H16" s="193"/>
      <c r="I16" s="193"/>
      <c r="J16" s="193"/>
      <c r="K16" s="193"/>
    </row>
    <row r="17" spans="1:11" ht="18">
      <c r="A17" s="193"/>
      <c r="B17" s="193"/>
      <c r="C17" s="193"/>
      <c r="D17" s="193"/>
      <c r="E17" s="193"/>
      <c r="F17" s="193"/>
      <c r="G17" s="209"/>
      <c r="H17" s="193"/>
      <c r="I17" s="193"/>
      <c r="J17" s="193"/>
      <c r="K17" s="193"/>
    </row>
    <row r="18" spans="1:11" ht="15" customHeight="1">
      <c r="A18" s="192"/>
      <c r="B18" s="246" t="s">
        <v>254</v>
      </c>
      <c r="C18" s="246"/>
      <c r="D18" s="246"/>
      <c r="E18" s="246"/>
      <c r="F18" s="246"/>
      <c r="G18" s="246"/>
      <c r="H18" s="246"/>
      <c r="I18" s="246"/>
      <c r="J18" s="246"/>
      <c r="K18" s="246"/>
    </row>
    <row r="19" spans="1:11" ht="18">
      <c r="A19" s="193"/>
      <c r="B19" s="193"/>
      <c r="C19" s="193"/>
      <c r="D19" s="193"/>
      <c r="E19" s="193"/>
      <c r="F19" s="193"/>
      <c r="G19" s="209"/>
      <c r="H19" s="193"/>
      <c r="I19" s="193"/>
      <c r="J19" s="193"/>
      <c r="K19" s="193"/>
    </row>
    <row r="20" spans="1:11" ht="18">
      <c r="A20" s="193"/>
      <c r="B20" s="193"/>
      <c r="C20" s="193"/>
      <c r="D20" s="193"/>
      <c r="E20" s="193"/>
      <c r="F20" s="193"/>
      <c r="G20" s="209"/>
      <c r="H20" s="193"/>
      <c r="I20" s="193"/>
      <c r="J20" s="193"/>
      <c r="K20" s="193"/>
    </row>
    <row r="21" spans="1:11" ht="18">
      <c r="A21" s="193"/>
      <c r="B21" s="193"/>
      <c r="C21" s="193"/>
      <c r="D21" s="193"/>
      <c r="E21" s="193"/>
      <c r="F21" s="193"/>
      <c r="G21" s="209"/>
      <c r="H21" s="193"/>
      <c r="I21" s="193"/>
      <c r="J21" s="193"/>
      <c r="K21" s="193"/>
    </row>
    <row r="22" spans="1:11" ht="18">
      <c r="A22" s="193"/>
      <c r="B22" s="201" t="s">
        <v>255</v>
      </c>
      <c r="C22" s="201" t="s">
        <v>256</v>
      </c>
      <c r="D22" s="201" t="s">
        <v>257</v>
      </c>
      <c r="E22" s="201" t="s">
        <v>258</v>
      </c>
      <c r="F22" s="201" t="s">
        <v>259</v>
      </c>
      <c r="G22" s="209"/>
      <c r="H22" s="193"/>
      <c r="I22" s="193"/>
      <c r="J22" s="193"/>
      <c r="K22" s="193"/>
    </row>
    <row r="23" spans="1:11" ht="18">
      <c r="A23" s="193"/>
      <c r="B23" s="197">
        <v>100</v>
      </c>
      <c r="C23" s="197" t="s">
        <v>260</v>
      </c>
      <c r="D23" s="219" t="s">
        <v>261</v>
      </c>
      <c r="E23" s="197">
        <v>100</v>
      </c>
      <c r="F23" s="197"/>
      <c r="G23" s="209" t="s">
        <v>262</v>
      </c>
      <c r="H23" s="193"/>
      <c r="I23" s="193"/>
      <c r="J23" s="193"/>
      <c r="K23" s="193"/>
    </row>
    <row r="24" spans="1:11" ht="18">
      <c r="A24" s="193"/>
      <c r="B24" s="197">
        <v>101</v>
      </c>
      <c r="C24" s="197" t="s">
        <v>263</v>
      </c>
      <c r="D24" s="202"/>
      <c r="E24" s="219">
        <v>70</v>
      </c>
      <c r="F24" s="202"/>
      <c r="G24" s="209" t="s">
        <v>264</v>
      </c>
      <c r="H24" s="193"/>
      <c r="I24" s="193"/>
      <c r="J24" s="193"/>
      <c r="K24" s="193"/>
    </row>
    <row r="25" spans="1:11" ht="18">
      <c r="A25" s="193"/>
      <c r="B25" s="197">
        <v>102</v>
      </c>
      <c r="C25" s="197" t="s">
        <v>265</v>
      </c>
      <c r="D25" s="202"/>
      <c r="E25" s="197">
        <v>120</v>
      </c>
      <c r="F25" s="202"/>
      <c r="G25" s="209"/>
      <c r="H25" s="193"/>
      <c r="I25" s="193"/>
      <c r="J25" s="193"/>
      <c r="K25" s="193"/>
    </row>
    <row r="26" spans="1:11" ht="18">
      <c r="A26" s="193"/>
      <c r="B26" s="197">
        <v>103</v>
      </c>
      <c r="C26" s="197" t="s">
        <v>266</v>
      </c>
      <c r="D26" s="202"/>
      <c r="E26" s="197">
        <v>60</v>
      </c>
      <c r="F26" s="202"/>
      <c r="G26" s="209"/>
      <c r="H26" s="193"/>
      <c r="I26" s="193"/>
      <c r="J26" s="193"/>
      <c r="K26" s="193"/>
    </row>
    <row r="27" spans="1:11" ht="18">
      <c r="A27" s="193"/>
      <c r="B27" s="193"/>
      <c r="C27" s="193"/>
      <c r="D27" s="193"/>
      <c r="E27" s="193"/>
      <c r="F27" s="193"/>
      <c r="G27" s="209"/>
      <c r="H27" s="193"/>
      <c r="I27" s="193"/>
      <c r="J27" s="193"/>
      <c r="K27" s="193"/>
    </row>
    <row r="28" spans="1:11" ht="18">
      <c r="A28" s="193"/>
      <c r="B28" s="197" t="s">
        <v>267</v>
      </c>
      <c r="C28" s="197" t="s">
        <v>268</v>
      </c>
      <c r="D28" s="197" t="s">
        <v>269</v>
      </c>
      <c r="E28" s="193"/>
      <c r="F28" s="193"/>
      <c r="G28" s="209"/>
      <c r="H28" s="193"/>
      <c r="I28" s="193"/>
      <c r="J28" s="193"/>
      <c r="K28" s="193"/>
    </row>
    <row r="29" spans="1:11" ht="18">
      <c r="A29" s="193"/>
      <c r="B29" s="197" t="s">
        <v>270</v>
      </c>
      <c r="C29" s="197" t="s">
        <v>271</v>
      </c>
      <c r="D29" s="202"/>
      <c r="E29" s="193"/>
      <c r="F29" s="193"/>
      <c r="G29" s="209"/>
      <c r="H29" s="193"/>
      <c r="I29" s="193"/>
      <c r="J29" s="193"/>
      <c r="K29" s="193"/>
    </row>
    <row r="30" spans="1:11" ht="18">
      <c r="A30" s="193"/>
      <c r="B30" s="197" t="s">
        <v>272</v>
      </c>
      <c r="C30" s="197" t="s">
        <v>273</v>
      </c>
      <c r="D30" s="197" t="s">
        <v>274</v>
      </c>
      <c r="E30" s="193"/>
      <c r="F30" s="193"/>
      <c r="G30" s="209"/>
      <c r="H30" s="193"/>
      <c r="I30" s="193"/>
      <c r="J30" s="193"/>
      <c r="K30" s="193"/>
    </row>
    <row r="31" spans="1:11" ht="18">
      <c r="A31" s="193"/>
      <c r="B31" s="197" t="s">
        <v>275</v>
      </c>
      <c r="C31" s="197" t="s">
        <v>276</v>
      </c>
      <c r="D31" s="202"/>
      <c r="E31" s="193"/>
      <c r="F31" s="193"/>
      <c r="G31" s="209"/>
      <c r="H31" s="193"/>
      <c r="I31" s="193"/>
      <c r="J31" s="193"/>
      <c r="K31" s="193"/>
    </row>
    <row r="32" spans="1:11" ht="18">
      <c r="A32" s="193"/>
      <c r="B32" s="193"/>
      <c r="C32" s="193"/>
      <c r="D32" s="193"/>
      <c r="E32" s="193"/>
      <c r="F32" s="193"/>
      <c r="G32" s="209"/>
      <c r="H32" s="193"/>
      <c r="I32" s="193"/>
      <c r="J32" s="193"/>
      <c r="K32" s="193"/>
    </row>
    <row r="33" spans="1:11" ht="18">
      <c r="A33" s="193"/>
      <c r="B33" s="193"/>
      <c r="C33" s="193"/>
      <c r="D33" s="198" t="s">
        <v>277</v>
      </c>
      <c r="E33" s="193"/>
      <c r="F33" s="193"/>
      <c r="G33" s="209"/>
      <c r="H33" s="193"/>
      <c r="I33" s="193"/>
      <c r="J33" s="193"/>
      <c r="K33" s="193"/>
    </row>
    <row r="34" spans="1:11" ht="18">
      <c r="A34" s="193"/>
      <c r="B34" s="193"/>
      <c r="C34" s="193"/>
      <c r="D34" s="193"/>
      <c r="E34" s="193"/>
      <c r="F34" s="193"/>
      <c r="G34" s="209"/>
      <c r="H34" s="193"/>
      <c r="I34" s="193"/>
      <c r="J34" s="193"/>
      <c r="K34" s="193"/>
    </row>
    <row r="35" spans="1:11" ht="15" customHeight="1">
      <c r="A35" s="192"/>
      <c r="B35" s="246" t="s">
        <v>278</v>
      </c>
      <c r="C35" s="246"/>
      <c r="D35" s="246"/>
      <c r="E35" s="246"/>
      <c r="F35" s="246"/>
      <c r="G35" s="246"/>
      <c r="H35" s="246"/>
      <c r="I35" s="246"/>
      <c r="J35" s="246"/>
      <c r="K35" s="246"/>
    </row>
    <row r="36" spans="1:11" ht="18">
      <c r="A36" s="193"/>
      <c r="B36" s="193"/>
      <c r="C36" s="193"/>
      <c r="D36" s="193"/>
      <c r="E36" s="193"/>
      <c r="F36" s="193"/>
      <c r="G36" s="209"/>
      <c r="H36" s="193"/>
      <c r="I36" s="193"/>
      <c r="J36" s="193"/>
      <c r="K36" s="193"/>
    </row>
    <row r="37" spans="1:11" ht="18">
      <c r="A37" s="193"/>
      <c r="B37" s="193"/>
      <c r="C37" s="193"/>
      <c r="D37" s="193"/>
      <c r="E37" s="193"/>
      <c r="F37" s="193"/>
      <c r="G37" s="209"/>
      <c r="H37" s="193"/>
      <c r="I37" s="193"/>
      <c r="J37" s="193"/>
      <c r="K37" s="193"/>
    </row>
    <row r="38" spans="1:11" ht="18">
      <c r="A38" s="193"/>
      <c r="B38" s="201" t="s">
        <v>279</v>
      </c>
      <c r="C38" s="201" t="s">
        <v>280</v>
      </c>
      <c r="D38" s="201" t="s">
        <v>281</v>
      </c>
      <c r="E38" s="201" t="s">
        <v>257</v>
      </c>
      <c r="F38" s="201" t="s">
        <v>258</v>
      </c>
      <c r="G38" s="213" t="s">
        <v>259</v>
      </c>
      <c r="H38" s="193"/>
      <c r="I38" s="193"/>
      <c r="J38" s="193"/>
      <c r="K38" s="193"/>
    </row>
    <row r="39" spans="1:11" ht="18">
      <c r="A39" s="193"/>
      <c r="B39" s="197">
        <v>1</v>
      </c>
      <c r="C39" s="197" t="s">
        <v>172</v>
      </c>
      <c r="D39" s="197" t="s">
        <v>205</v>
      </c>
      <c r="E39" s="197">
        <v>10</v>
      </c>
      <c r="F39" s="197">
        <v>120</v>
      </c>
      <c r="G39" s="211">
        <v>1200</v>
      </c>
      <c r="H39" s="193"/>
      <c r="I39" s="193"/>
      <c r="J39" s="193"/>
      <c r="K39" s="193"/>
    </row>
    <row r="40" spans="1:11" ht="18">
      <c r="A40" s="193"/>
      <c r="B40" s="197">
        <v>2</v>
      </c>
      <c r="C40" s="197" t="s">
        <v>189</v>
      </c>
      <c r="D40" s="197" t="s">
        <v>282</v>
      </c>
      <c r="E40" s="197">
        <v>20</v>
      </c>
      <c r="F40" s="197">
        <v>210</v>
      </c>
      <c r="G40" s="211">
        <v>4200</v>
      </c>
      <c r="H40" s="193"/>
      <c r="I40" s="193"/>
      <c r="J40" s="193"/>
      <c r="K40" s="193"/>
    </row>
    <row r="41" spans="1:11" ht="18">
      <c r="A41" s="193"/>
      <c r="B41" s="197">
        <v>3</v>
      </c>
      <c r="C41" s="197" t="s">
        <v>172</v>
      </c>
      <c r="D41" s="197" t="s">
        <v>282</v>
      </c>
      <c r="E41" s="197">
        <v>10</v>
      </c>
      <c r="F41" s="197">
        <v>140</v>
      </c>
      <c r="G41" s="211">
        <v>1400</v>
      </c>
      <c r="H41" s="193"/>
      <c r="I41" s="193"/>
      <c r="J41" s="193"/>
      <c r="K41" s="193"/>
    </row>
    <row r="42" spans="1:11" ht="18">
      <c r="A42" s="193"/>
      <c r="B42" s="197">
        <v>4</v>
      </c>
      <c r="C42" s="197" t="s">
        <v>189</v>
      </c>
      <c r="D42" s="197" t="s">
        <v>205</v>
      </c>
      <c r="E42" s="197">
        <v>14</v>
      </c>
      <c r="F42" s="197">
        <v>190</v>
      </c>
      <c r="G42" s="211">
        <v>2660</v>
      </c>
      <c r="H42" s="193"/>
      <c r="I42" s="193"/>
      <c r="J42" s="193"/>
      <c r="K42" s="193"/>
    </row>
    <row r="43" spans="1:11" ht="18">
      <c r="A43" s="193"/>
      <c r="B43" s="197">
        <v>5</v>
      </c>
      <c r="C43" s="197" t="s">
        <v>172</v>
      </c>
      <c r="D43" s="197" t="s">
        <v>205</v>
      </c>
      <c r="E43" s="197">
        <v>25</v>
      </c>
      <c r="F43" s="197">
        <v>220</v>
      </c>
      <c r="G43" s="211">
        <v>5500</v>
      </c>
      <c r="H43" s="193"/>
      <c r="I43" s="193"/>
      <c r="J43" s="193"/>
      <c r="K43" s="193"/>
    </row>
    <row r="44" spans="1:11" ht="18">
      <c r="A44" s="193"/>
      <c r="B44" s="197">
        <v>6</v>
      </c>
      <c r="C44" s="197" t="s">
        <v>189</v>
      </c>
      <c r="D44" s="197" t="s">
        <v>282</v>
      </c>
      <c r="E44" s="197">
        <v>10</v>
      </c>
      <c r="F44" s="197">
        <v>230</v>
      </c>
      <c r="G44" s="211">
        <v>2300</v>
      </c>
      <c r="H44" s="193"/>
      <c r="I44" s="193"/>
      <c r="J44" s="193"/>
      <c r="K44" s="193"/>
    </row>
    <row r="45" spans="1:11" ht="18">
      <c r="A45" s="193"/>
      <c r="B45" s="197">
        <v>7</v>
      </c>
      <c r="C45" s="197" t="s">
        <v>172</v>
      </c>
      <c r="D45" s="197" t="s">
        <v>282</v>
      </c>
      <c r="E45" s="197">
        <v>10</v>
      </c>
      <c r="F45" s="197">
        <v>180</v>
      </c>
      <c r="G45" s="211">
        <v>1800</v>
      </c>
      <c r="H45" s="193"/>
      <c r="I45" s="193"/>
      <c r="J45" s="193"/>
      <c r="K45" s="193"/>
    </row>
    <row r="46" spans="1:11" ht="18">
      <c r="A46" s="193"/>
      <c r="B46" s="197">
        <v>8</v>
      </c>
      <c r="C46" s="197" t="s">
        <v>172</v>
      </c>
      <c r="D46" s="197" t="s">
        <v>205</v>
      </c>
      <c r="E46" s="197">
        <v>11</v>
      </c>
      <c r="F46" s="197">
        <v>170</v>
      </c>
      <c r="G46" s="211">
        <v>1870</v>
      </c>
      <c r="H46" s="193"/>
      <c r="I46" s="193"/>
      <c r="J46" s="193"/>
      <c r="K46" s="193"/>
    </row>
    <row r="47" spans="1:11" ht="18">
      <c r="A47" s="193"/>
      <c r="B47" s="197">
        <v>9</v>
      </c>
      <c r="C47" s="197" t="s">
        <v>189</v>
      </c>
      <c r="D47" s="197" t="s">
        <v>282</v>
      </c>
      <c r="E47" s="197">
        <v>21</v>
      </c>
      <c r="F47" s="197">
        <v>150</v>
      </c>
      <c r="G47" s="211">
        <v>3150</v>
      </c>
      <c r="H47" s="193"/>
      <c r="I47" s="193"/>
      <c r="J47" s="193"/>
      <c r="K47" s="193"/>
    </row>
    <row r="48" spans="1:11" ht="18">
      <c r="A48" s="193"/>
      <c r="B48" s="193"/>
      <c r="C48" s="193"/>
      <c r="D48" s="193"/>
      <c r="E48" s="193"/>
      <c r="F48" s="193"/>
      <c r="G48" s="209"/>
      <c r="H48" s="193"/>
      <c r="I48" s="193"/>
      <c r="J48" s="193"/>
      <c r="K48" s="193"/>
    </row>
    <row r="49" spans="1:11" ht="15" customHeight="1">
      <c r="A49" s="193"/>
      <c r="B49" s="193"/>
      <c r="C49" s="247" t="s">
        <v>245</v>
      </c>
      <c r="D49" s="248"/>
      <c r="E49" s="198">
        <v>131</v>
      </c>
      <c r="F49" s="193"/>
      <c r="G49" s="209"/>
      <c r="H49" s="193"/>
      <c r="I49" s="193"/>
      <c r="J49" s="193"/>
      <c r="K49" s="193"/>
    </row>
    <row r="50" spans="1:11" ht="15" customHeight="1">
      <c r="A50" s="193"/>
      <c r="B50" s="193"/>
      <c r="C50" s="247" t="s">
        <v>246</v>
      </c>
      <c r="D50" s="248"/>
      <c r="E50" s="198">
        <v>14.56</v>
      </c>
      <c r="F50" s="193"/>
      <c r="G50" s="209"/>
      <c r="H50" s="193"/>
      <c r="I50" s="193"/>
      <c r="J50" s="193"/>
      <c r="K50" s="193"/>
    </row>
    <row r="51" spans="1:11" ht="12.75" customHeight="1">
      <c r="A51" s="193"/>
      <c r="B51" s="193"/>
      <c r="C51" s="193"/>
      <c r="D51" s="193"/>
      <c r="E51" s="193"/>
      <c r="F51" s="193"/>
      <c r="G51" s="209"/>
      <c r="H51" s="193"/>
      <c r="I51" s="193"/>
      <c r="J51" s="193"/>
      <c r="K51" s="193"/>
    </row>
    <row r="52" spans="1:11" ht="25.5" customHeight="1">
      <c r="A52" s="192"/>
      <c r="B52" s="246" t="s">
        <v>283</v>
      </c>
      <c r="C52" s="246"/>
      <c r="D52" s="246"/>
      <c r="E52" s="246"/>
      <c r="F52" s="246"/>
      <c r="G52" s="246"/>
      <c r="H52" s="246"/>
      <c r="I52" s="246"/>
      <c r="J52" s="246"/>
      <c r="K52" s="246"/>
    </row>
    <row r="53" spans="1:11" ht="18">
      <c r="A53" s="193"/>
      <c r="B53" s="193"/>
      <c r="C53" s="193"/>
      <c r="D53" s="193"/>
      <c r="E53" s="193"/>
      <c r="F53" s="193"/>
      <c r="G53" s="209"/>
      <c r="H53" s="193"/>
      <c r="I53" s="193"/>
      <c r="J53" s="193"/>
      <c r="K53" s="193"/>
    </row>
    <row r="54" spans="1:11" ht="18">
      <c r="A54" s="193"/>
      <c r="B54" s="193"/>
      <c r="C54" s="193"/>
      <c r="D54" s="193"/>
      <c r="E54" s="193"/>
      <c r="F54" s="193"/>
      <c r="G54" s="209"/>
      <c r="H54" s="193"/>
      <c r="I54" s="193"/>
      <c r="J54" s="193"/>
      <c r="K54" s="193"/>
    </row>
    <row r="55" spans="1:11" ht="18">
      <c r="A55" s="193"/>
      <c r="B55" s="201" t="s">
        <v>279</v>
      </c>
      <c r="C55" s="201" t="s">
        <v>280</v>
      </c>
      <c r="D55" s="201" t="s">
        <v>281</v>
      </c>
      <c r="E55" s="201" t="s">
        <v>257</v>
      </c>
      <c r="F55" s="201" t="s">
        <v>258</v>
      </c>
      <c r="G55" s="213" t="s">
        <v>259</v>
      </c>
      <c r="H55" s="193"/>
      <c r="I55" s="203" t="s">
        <v>284</v>
      </c>
      <c r="J55" s="203" t="s">
        <v>285</v>
      </c>
      <c r="K55" s="193"/>
    </row>
    <row r="56" spans="1:11" ht="18">
      <c r="A56" s="193"/>
      <c r="B56" s="197">
        <v>1</v>
      </c>
      <c r="C56" s="197" t="s">
        <v>172</v>
      </c>
      <c r="D56" s="197" t="s">
        <v>205</v>
      </c>
      <c r="E56" s="197">
        <v>10</v>
      </c>
      <c r="F56" s="197">
        <v>120</v>
      </c>
      <c r="G56" s="211">
        <v>1200</v>
      </c>
      <c r="H56" s="193"/>
      <c r="I56" s="202" t="s">
        <v>246</v>
      </c>
      <c r="J56" s="202">
        <v>1</v>
      </c>
      <c r="K56" s="193"/>
    </row>
    <row r="57" spans="1:11" ht="18">
      <c r="A57" s="193"/>
      <c r="B57" s="197">
        <v>2</v>
      </c>
      <c r="C57" s="197" t="s">
        <v>189</v>
      </c>
      <c r="D57" s="197" t="s">
        <v>282</v>
      </c>
      <c r="E57" s="197">
        <v>20</v>
      </c>
      <c r="F57" s="197">
        <v>210</v>
      </c>
      <c r="G57" s="211">
        <v>4200</v>
      </c>
      <c r="H57" s="193"/>
      <c r="I57" s="202" t="s">
        <v>286</v>
      </c>
      <c r="J57" s="202">
        <v>2</v>
      </c>
      <c r="K57" s="193"/>
    </row>
    <row r="58" spans="1:11" ht="18">
      <c r="A58" s="193"/>
      <c r="B58" s="197">
        <v>3</v>
      </c>
      <c r="C58" s="197" t="s">
        <v>172</v>
      </c>
      <c r="D58" s="197" t="s">
        <v>282</v>
      </c>
      <c r="E58" s="197">
        <v>10</v>
      </c>
      <c r="F58" s="197">
        <v>140</v>
      </c>
      <c r="G58" s="211">
        <v>1400</v>
      </c>
      <c r="H58" s="193"/>
      <c r="I58" s="202" t="s">
        <v>287</v>
      </c>
      <c r="J58" s="202">
        <v>3</v>
      </c>
      <c r="K58" s="193"/>
    </row>
    <row r="59" spans="1:11" ht="18">
      <c r="A59" s="193"/>
      <c r="B59" s="197">
        <v>4</v>
      </c>
      <c r="C59" s="197" t="s">
        <v>189</v>
      </c>
      <c r="D59" s="197" t="s">
        <v>205</v>
      </c>
      <c r="E59" s="197">
        <v>14</v>
      </c>
      <c r="F59" s="197">
        <v>190</v>
      </c>
      <c r="G59" s="211">
        <v>2660</v>
      </c>
      <c r="H59" s="193"/>
      <c r="I59" s="202" t="s">
        <v>288</v>
      </c>
      <c r="J59" s="202">
        <v>4</v>
      </c>
      <c r="K59" s="193"/>
    </row>
    <row r="60" spans="1:11" ht="18">
      <c r="A60" s="193"/>
      <c r="B60" s="197">
        <v>5</v>
      </c>
      <c r="C60" s="197" t="s">
        <v>172</v>
      </c>
      <c r="D60" s="197" t="s">
        <v>205</v>
      </c>
      <c r="E60" s="197">
        <v>25</v>
      </c>
      <c r="F60" s="197">
        <v>220</v>
      </c>
      <c r="G60" s="211">
        <v>5500</v>
      </c>
      <c r="H60" s="193"/>
      <c r="I60" s="202" t="s">
        <v>289</v>
      </c>
      <c r="J60" s="202">
        <v>5</v>
      </c>
      <c r="K60" s="193"/>
    </row>
    <row r="61" spans="1:11" ht="18">
      <c r="A61" s="193"/>
      <c r="B61" s="197">
        <v>6</v>
      </c>
      <c r="C61" s="197" t="s">
        <v>189</v>
      </c>
      <c r="D61" s="197" t="s">
        <v>282</v>
      </c>
      <c r="E61" s="197">
        <v>10</v>
      </c>
      <c r="F61" s="197">
        <v>230</v>
      </c>
      <c r="G61" s="211">
        <v>2300</v>
      </c>
      <c r="H61" s="193"/>
      <c r="I61" s="202" t="s">
        <v>169</v>
      </c>
      <c r="J61" s="202">
        <v>6</v>
      </c>
      <c r="K61" s="193"/>
    </row>
    <row r="62" spans="1:11" ht="18">
      <c r="A62" s="193"/>
      <c r="B62" s="197">
        <v>7</v>
      </c>
      <c r="C62" s="197" t="s">
        <v>172</v>
      </c>
      <c r="D62" s="197" t="s">
        <v>282</v>
      </c>
      <c r="E62" s="197">
        <v>10</v>
      </c>
      <c r="F62" s="197">
        <v>180</v>
      </c>
      <c r="G62" s="211">
        <v>1800</v>
      </c>
      <c r="H62" s="193"/>
      <c r="I62" s="202" t="s">
        <v>290</v>
      </c>
      <c r="J62" s="202">
        <v>9</v>
      </c>
      <c r="K62" s="193"/>
    </row>
    <row r="63" spans="1:11" ht="18">
      <c r="A63" s="193"/>
      <c r="B63" s="197">
        <v>8</v>
      </c>
      <c r="C63" s="197" t="s">
        <v>172</v>
      </c>
      <c r="D63" s="197" t="s">
        <v>205</v>
      </c>
      <c r="E63" s="197">
        <v>11</v>
      </c>
      <c r="F63" s="197">
        <v>170</v>
      </c>
      <c r="G63" s="211">
        <v>1870</v>
      </c>
      <c r="H63" s="193"/>
      <c r="I63" s="193"/>
      <c r="J63" s="193"/>
      <c r="K63" s="193"/>
    </row>
    <row r="64" spans="1:11" ht="18">
      <c r="A64" s="193"/>
      <c r="B64" s="197">
        <v>9</v>
      </c>
      <c r="C64" s="197" t="s">
        <v>189</v>
      </c>
      <c r="D64" s="197" t="s">
        <v>282</v>
      </c>
      <c r="E64" s="197">
        <v>21</v>
      </c>
      <c r="F64" s="197">
        <v>150</v>
      </c>
      <c r="G64" s="211">
        <v>3150</v>
      </c>
      <c r="H64" s="193"/>
      <c r="I64" s="193"/>
      <c r="J64" s="193"/>
      <c r="K64" s="193"/>
    </row>
    <row r="65" spans="1:11" ht="18">
      <c r="A65" s="193"/>
      <c r="B65" s="193"/>
      <c r="C65" s="193"/>
      <c r="D65" s="193"/>
      <c r="E65" s="193"/>
      <c r="F65" s="193"/>
      <c r="G65" s="209"/>
      <c r="H65" s="193"/>
      <c r="I65" s="193"/>
      <c r="J65" s="193"/>
      <c r="K65" s="193"/>
    </row>
    <row r="66" spans="1:11" ht="15" customHeight="1">
      <c r="A66" s="193"/>
      <c r="B66" s="242" t="s">
        <v>291</v>
      </c>
      <c r="C66" s="243"/>
      <c r="D66" s="198" t="s">
        <v>246</v>
      </c>
      <c r="E66" s="204">
        <f>SUBTOTAL(VLOOKUP(D66,I55:J62,2,0),E55:E64)</f>
        <v>14.555555555555555</v>
      </c>
      <c r="F66" s="193"/>
      <c r="G66" s="214"/>
      <c r="H66" s="193"/>
      <c r="I66" s="193"/>
      <c r="J66" s="193"/>
      <c r="K66" s="193"/>
    </row>
    <row r="67" spans="1:11" ht="18">
      <c r="A67" s="193"/>
      <c r="B67" s="193"/>
      <c r="C67" s="193"/>
      <c r="D67" s="193"/>
      <c r="E67" s="193"/>
      <c r="F67" s="193"/>
      <c r="G67" s="209"/>
      <c r="H67" s="193"/>
      <c r="I67" s="193"/>
      <c r="J67" s="193"/>
      <c r="K67" s="193"/>
    </row>
    <row r="68" spans="1:11" ht="18">
      <c r="A68" s="193"/>
      <c r="B68" s="193"/>
      <c r="C68" s="193"/>
      <c r="D68" s="193"/>
      <c r="E68" s="193"/>
      <c r="F68" s="193"/>
      <c r="G68" s="209"/>
      <c r="H68" s="193"/>
      <c r="I68" s="193"/>
      <c r="J68" s="193"/>
      <c r="K68" s="193"/>
    </row>
    <row r="69" spans="1:11" ht="15" customHeight="1">
      <c r="A69" s="192"/>
      <c r="B69" s="244" t="s">
        <v>292</v>
      </c>
      <c r="C69" s="244"/>
      <c r="D69" s="244"/>
      <c r="E69" s="244"/>
      <c r="F69" s="244"/>
      <c r="G69" s="244"/>
      <c r="H69" s="244"/>
      <c r="I69" s="244"/>
      <c r="J69" s="244"/>
      <c r="K69" s="244"/>
    </row>
    <row r="70" spans="1:11" ht="18">
      <c r="A70" s="193"/>
      <c r="B70" s="193"/>
      <c r="C70" s="193"/>
      <c r="D70" s="193"/>
      <c r="E70" s="193"/>
      <c r="F70" s="193"/>
      <c r="G70" s="209"/>
      <c r="H70" s="193"/>
      <c r="I70" s="193"/>
      <c r="J70" s="193"/>
      <c r="K70" s="193"/>
    </row>
    <row r="71" spans="1:11" ht="22.5" customHeight="1">
      <c r="A71" s="193"/>
      <c r="B71" s="193"/>
      <c r="C71" s="193"/>
      <c r="D71" s="205" t="s">
        <v>286</v>
      </c>
      <c r="E71" s="202"/>
      <c r="F71" s="193"/>
      <c r="G71" s="245" t="s">
        <v>293</v>
      </c>
      <c r="H71" s="245"/>
      <c r="I71" s="245"/>
      <c r="J71" s="245"/>
      <c r="K71" s="193"/>
    </row>
    <row r="72" spans="1:11" ht="24.75" customHeight="1">
      <c r="A72" s="193"/>
      <c r="B72" s="193"/>
      <c r="C72" s="193"/>
      <c r="D72" s="205" t="s">
        <v>287</v>
      </c>
      <c r="E72" s="202"/>
      <c r="F72" s="193"/>
      <c r="G72" s="245" t="s">
        <v>294</v>
      </c>
      <c r="H72" s="245"/>
      <c r="I72" s="245"/>
      <c r="J72" s="245"/>
      <c r="K72" s="193"/>
    </row>
    <row r="73" spans="1:11" ht="26.25" customHeight="1">
      <c r="A73" s="193"/>
      <c r="B73" s="193"/>
      <c r="C73" s="193"/>
      <c r="D73" s="205" t="s">
        <v>295</v>
      </c>
      <c r="E73" s="202"/>
      <c r="F73" s="193"/>
      <c r="G73" s="245" t="s">
        <v>296</v>
      </c>
      <c r="H73" s="245"/>
      <c r="I73" s="245"/>
      <c r="J73" s="245"/>
      <c r="K73" s="193"/>
    </row>
    <row r="74" spans="1:11" ht="18">
      <c r="A74" s="193"/>
      <c r="B74" s="193"/>
      <c r="C74" s="193"/>
      <c r="D74" s="193"/>
      <c r="E74" s="193"/>
      <c r="F74" s="193"/>
      <c r="G74" s="209"/>
      <c r="H74" s="193"/>
      <c r="I74" s="193"/>
      <c r="J74" s="193"/>
      <c r="K74" s="193"/>
    </row>
    <row r="75" spans="1:11" ht="18">
      <c r="A75" s="193"/>
      <c r="B75" s="201" t="s">
        <v>297</v>
      </c>
      <c r="C75" s="201" t="s">
        <v>298</v>
      </c>
      <c r="D75" s="201" t="s">
        <v>299</v>
      </c>
      <c r="E75" s="201" t="s">
        <v>300</v>
      </c>
      <c r="F75" s="193"/>
      <c r="G75" s="209"/>
      <c r="H75" s="193"/>
      <c r="I75" s="193"/>
      <c r="J75" s="193"/>
      <c r="K75" s="193"/>
    </row>
    <row r="76" spans="1:11" ht="18">
      <c r="A76" s="193"/>
      <c r="B76" s="197">
        <v>100</v>
      </c>
      <c r="C76" s="197" t="s">
        <v>248</v>
      </c>
      <c r="D76" s="197" t="s">
        <v>301</v>
      </c>
      <c r="E76" s="197">
        <v>12900003</v>
      </c>
      <c r="F76" s="193"/>
      <c r="G76" s="241">
        <v>5</v>
      </c>
      <c r="H76" s="193"/>
      <c r="I76" s="193"/>
      <c r="J76" s="193"/>
      <c r="K76" s="193"/>
    </row>
    <row r="77" spans="1:11" ht="18">
      <c r="A77" s="193"/>
      <c r="B77" s="197">
        <v>102</v>
      </c>
      <c r="C77" s="197" t="s">
        <v>249</v>
      </c>
      <c r="D77" s="197" t="s">
        <v>302</v>
      </c>
      <c r="E77" s="202"/>
      <c r="F77" s="193"/>
      <c r="G77" s="209"/>
      <c r="H77" s="193"/>
      <c r="I77" s="193"/>
      <c r="J77" s="193"/>
      <c r="K77" s="193"/>
    </row>
    <row r="78" spans="1:11" ht="18">
      <c r="A78" s="193"/>
      <c r="B78" s="197">
        <v>104</v>
      </c>
      <c r="C78" s="197" t="s">
        <v>250</v>
      </c>
      <c r="D78" s="197" t="s">
        <v>302</v>
      </c>
      <c r="E78" s="197" t="s">
        <v>303</v>
      </c>
      <c r="F78" s="193"/>
      <c r="G78" s="241">
        <v>7</v>
      </c>
      <c r="H78" s="193"/>
      <c r="I78" s="193"/>
      <c r="J78" s="193"/>
      <c r="K78" s="193"/>
    </row>
    <row r="79" spans="1:11" ht="18">
      <c r="A79" s="193"/>
      <c r="B79" s="197">
        <v>106</v>
      </c>
      <c r="C79" s="197" t="s">
        <v>304</v>
      </c>
      <c r="D79" s="197" t="s">
        <v>302</v>
      </c>
      <c r="E79" s="197">
        <v>12000012</v>
      </c>
      <c r="F79" s="193"/>
      <c r="G79" s="241">
        <v>2</v>
      </c>
      <c r="H79" s="193"/>
      <c r="I79" s="193"/>
      <c r="J79" s="193"/>
      <c r="K79" s="193"/>
    </row>
    <row r="80" spans="1:11" ht="18">
      <c r="A80" s="193"/>
      <c r="B80" s="197">
        <v>108</v>
      </c>
      <c r="C80" s="197" t="s">
        <v>305</v>
      </c>
      <c r="D80" s="197" t="s">
        <v>301</v>
      </c>
      <c r="E80" s="197" t="s">
        <v>303</v>
      </c>
      <c r="F80" s="193"/>
      <c r="G80" s="209"/>
      <c r="H80" s="193"/>
      <c r="I80" s="193"/>
      <c r="J80" s="193"/>
      <c r="K80" s="193"/>
    </row>
    <row r="81" spans="1:11" ht="18">
      <c r="A81" s="193"/>
      <c r="B81" s="197">
        <v>110</v>
      </c>
      <c r="C81" s="197" t="s">
        <v>306</v>
      </c>
      <c r="D81" s="197" t="s">
        <v>301</v>
      </c>
      <c r="E81" s="197">
        <v>12000012</v>
      </c>
      <c r="F81" s="193"/>
      <c r="G81" s="209"/>
      <c r="H81" s="193"/>
      <c r="I81" s="193"/>
      <c r="J81" s="193"/>
      <c r="K81" s="193"/>
    </row>
    <row r="82" spans="1:11" ht="18">
      <c r="A82" s="193"/>
      <c r="B82" s="197">
        <v>112</v>
      </c>
      <c r="C82" s="197" t="s">
        <v>307</v>
      </c>
      <c r="D82" s="197" t="s">
        <v>301</v>
      </c>
      <c r="E82" s="197">
        <v>12000012</v>
      </c>
      <c r="F82" s="193"/>
      <c r="G82" s="209"/>
      <c r="H82" s="193"/>
      <c r="I82" s="193"/>
      <c r="J82" s="193"/>
      <c r="K82" s="193"/>
    </row>
    <row r="83" spans="1:11" ht="18">
      <c r="A83" s="193"/>
      <c r="B83" s="197">
        <v>114</v>
      </c>
      <c r="C83" s="197" t="s">
        <v>308</v>
      </c>
      <c r="D83" s="197" t="s">
        <v>301</v>
      </c>
      <c r="E83" s="202"/>
      <c r="F83" s="193"/>
      <c r="G83" s="209"/>
      <c r="H83" s="193"/>
      <c r="I83" s="193"/>
      <c r="J83" s="193"/>
      <c r="K83" s="193"/>
    </row>
    <row r="84" spans="1:11" ht="18">
      <c r="A84" s="193"/>
      <c r="B84" s="197">
        <v>116</v>
      </c>
      <c r="C84" s="197" t="s">
        <v>309</v>
      </c>
      <c r="D84" s="197" t="s">
        <v>301</v>
      </c>
      <c r="E84" s="197">
        <v>12000012</v>
      </c>
      <c r="F84" s="193"/>
      <c r="G84" s="209"/>
      <c r="H84" s="193"/>
      <c r="I84" s="193"/>
      <c r="J84" s="193"/>
      <c r="K84" s="193"/>
    </row>
    <row r="85" spans="1:11" ht="18">
      <c r="A85" s="193"/>
      <c r="B85" s="193"/>
      <c r="C85" s="193"/>
      <c r="D85" s="193"/>
      <c r="E85" s="193"/>
      <c r="F85" s="193"/>
      <c r="G85" s="209"/>
      <c r="H85" s="193"/>
      <c r="I85" s="193"/>
      <c r="J85" s="193"/>
      <c r="K85" s="193"/>
    </row>
    <row r="86" spans="1:11" ht="35.25" customHeight="1">
      <c r="A86" s="192"/>
      <c r="B86" s="246" t="s">
        <v>310</v>
      </c>
      <c r="C86" s="246"/>
      <c r="D86" s="246"/>
      <c r="E86" s="246"/>
      <c r="F86" s="246"/>
      <c r="G86" s="246"/>
      <c r="H86" s="246"/>
      <c r="I86" s="246"/>
      <c r="J86" s="246"/>
      <c r="K86" s="246"/>
    </row>
    <row r="87" spans="1:11" ht="18">
      <c r="A87" s="193"/>
      <c r="B87" s="193"/>
      <c r="C87" s="193"/>
      <c r="D87" s="193"/>
      <c r="E87" s="193"/>
      <c r="F87" s="193"/>
      <c r="G87" s="209"/>
      <c r="H87" s="193"/>
      <c r="I87" s="193"/>
      <c r="J87" s="193"/>
      <c r="K87" s="193"/>
    </row>
    <row r="88" spans="1:11" ht="18">
      <c r="A88" s="193"/>
      <c r="B88" s="193"/>
      <c r="C88" s="193"/>
      <c r="D88" s="193"/>
      <c r="E88" s="193"/>
      <c r="F88" s="201" t="s">
        <v>280</v>
      </c>
      <c r="G88" s="213" t="s">
        <v>281</v>
      </c>
      <c r="H88" s="201" t="s">
        <v>257</v>
      </c>
      <c r="I88" s="193"/>
      <c r="J88" s="193"/>
      <c r="K88" s="193"/>
    </row>
    <row r="89" spans="1:11" ht="18">
      <c r="A89" s="193"/>
      <c r="B89" s="201" t="s">
        <v>280</v>
      </c>
      <c r="C89" s="201" t="s">
        <v>257</v>
      </c>
      <c r="D89" s="201" t="s">
        <v>259</v>
      </c>
      <c r="E89" s="193"/>
      <c r="F89" s="206" t="s">
        <v>311</v>
      </c>
      <c r="G89" s="215" t="s">
        <v>312</v>
      </c>
      <c r="H89" s="198">
        <f>DSUM(B92:G101,E92,F88:G89)</f>
        <v>20</v>
      </c>
      <c r="I89" s="193"/>
      <c r="J89" s="193"/>
      <c r="K89" s="193"/>
    </row>
    <row r="90" spans="1:11" ht="18">
      <c r="A90" s="193"/>
      <c r="B90" s="198" t="s">
        <v>313</v>
      </c>
      <c r="C90" s="198">
        <f>DSUM(B92:G101,E92,B89:B90)</f>
        <v>65</v>
      </c>
      <c r="D90" s="198">
        <f>DSUM(B92:G101,G92,B89:B90)</f>
        <v>12310</v>
      </c>
      <c r="E90" s="193"/>
      <c r="F90" s="193"/>
      <c r="G90" s="209"/>
      <c r="H90" s="193"/>
      <c r="I90" s="193"/>
      <c r="J90" s="193"/>
      <c r="K90" s="193"/>
    </row>
    <row r="91" spans="1:11" ht="18">
      <c r="A91" s="193"/>
      <c r="B91" s="193"/>
      <c r="C91" s="193"/>
      <c r="D91" s="193"/>
      <c r="E91" s="193"/>
      <c r="F91" s="193"/>
      <c r="G91" s="209"/>
      <c r="H91" s="193"/>
      <c r="I91" s="193"/>
      <c r="J91" s="193"/>
      <c r="K91" s="193"/>
    </row>
    <row r="92" spans="1:11" ht="18">
      <c r="A92" s="193"/>
      <c r="B92" s="201" t="s">
        <v>279</v>
      </c>
      <c r="C92" s="201" t="s">
        <v>280</v>
      </c>
      <c r="D92" s="201" t="s">
        <v>281</v>
      </c>
      <c r="E92" s="201" t="s">
        <v>257</v>
      </c>
      <c r="F92" s="201" t="s">
        <v>258</v>
      </c>
      <c r="G92" s="213" t="s">
        <v>259</v>
      </c>
      <c r="H92" s="193"/>
      <c r="I92" s="193"/>
      <c r="J92" s="193"/>
      <c r="K92" s="193"/>
    </row>
    <row r="93" spans="1:11" ht="18">
      <c r="A93" s="193"/>
      <c r="B93" s="197">
        <v>1</v>
      </c>
      <c r="C93" s="197" t="s">
        <v>172</v>
      </c>
      <c r="D93" s="197" t="s">
        <v>205</v>
      </c>
      <c r="E93" s="197">
        <v>10</v>
      </c>
      <c r="F93" s="197">
        <v>120</v>
      </c>
      <c r="G93" s="211">
        <v>1200</v>
      </c>
      <c r="H93" s="193"/>
      <c r="I93" s="193"/>
      <c r="J93" s="193"/>
      <c r="K93" s="193"/>
    </row>
    <row r="94" spans="1:11" ht="18">
      <c r="A94" s="193"/>
      <c r="B94" s="197">
        <v>2</v>
      </c>
      <c r="C94" s="197" t="s">
        <v>189</v>
      </c>
      <c r="D94" s="197" t="s">
        <v>282</v>
      </c>
      <c r="E94" s="197">
        <v>20</v>
      </c>
      <c r="F94" s="197">
        <v>210</v>
      </c>
      <c r="G94" s="211">
        <v>4200</v>
      </c>
      <c r="H94" s="193"/>
      <c r="I94" s="193"/>
      <c r="J94" s="193"/>
      <c r="K94" s="193"/>
    </row>
    <row r="95" spans="1:11" ht="18">
      <c r="A95" s="193"/>
      <c r="B95" s="197">
        <v>3</v>
      </c>
      <c r="C95" s="197" t="s">
        <v>172</v>
      </c>
      <c r="D95" s="197" t="s">
        <v>282</v>
      </c>
      <c r="E95" s="197">
        <v>10</v>
      </c>
      <c r="F95" s="197">
        <v>140</v>
      </c>
      <c r="G95" s="211">
        <v>1400</v>
      </c>
      <c r="H95" s="193"/>
      <c r="I95" s="193"/>
      <c r="J95" s="193"/>
      <c r="K95" s="193"/>
    </row>
    <row r="96" spans="1:11" ht="18">
      <c r="A96" s="193"/>
      <c r="B96" s="197">
        <v>4</v>
      </c>
      <c r="C96" s="197" t="s">
        <v>189</v>
      </c>
      <c r="D96" s="197" t="s">
        <v>205</v>
      </c>
      <c r="E96" s="197">
        <v>14</v>
      </c>
      <c r="F96" s="197">
        <v>190</v>
      </c>
      <c r="G96" s="211">
        <v>2660</v>
      </c>
      <c r="H96" s="193"/>
      <c r="I96" s="193"/>
      <c r="J96" s="193"/>
      <c r="K96" s="193"/>
    </row>
    <row r="97" spans="1:11" ht="18">
      <c r="A97" s="193"/>
      <c r="B97" s="197">
        <v>5</v>
      </c>
      <c r="C97" s="197" t="s">
        <v>172</v>
      </c>
      <c r="D97" s="197" t="s">
        <v>205</v>
      </c>
      <c r="E97" s="197">
        <v>25</v>
      </c>
      <c r="F97" s="197">
        <v>220</v>
      </c>
      <c r="G97" s="211">
        <v>5500</v>
      </c>
      <c r="H97" s="193"/>
      <c r="I97" s="193"/>
      <c r="J97" s="193"/>
      <c r="K97" s="193"/>
    </row>
    <row r="98" spans="1:11" ht="18">
      <c r="A98" s="193"/>
      <c r="B98" s="197">
        <v>6</v>
      </c>
      <c r="C98" s="197" t="s">
        <v>189</v>
      </c>
      <c r="D98" s="197" t="s">
        <v>282</v>
      </c>
      <c r="E98" s="197">
        <v>10</v>
      </c>
      <c r="F98" s="197">
        <v>230</v>
      </c>
      <c r="G98" s="211">
        <v>2300</v>
      </c>
      <c r="H98" s="193"/>
      <c r="I98" s="193"/>
      <c r="J98" s="193"/>
      <c r="K98" s="193"/>
    </row>
    <row r="99" spans="1:11" ht="18">
      <c r="A99" s="193"/>
      <c r="B99" s="197">
        <v>7</v>
      </c>
      <c r="C99" s="197" t="s">
        <v>172</v>
      </c>
      <c r="D99" s="197" t="s">
        <v>282</v>
      </c>
      <c r="E99" s="197">
        <v>10</v>
      </c>
      <c r="F99" s="197">
        <v>180</v>
      </c>
      <c r="G99" s="211">
        <v>1800</v>
      </c>
      <c r="H99" s="193"/>
      <c r="I99" s="193"/>
      <c r="J99" s="193"/>
      <c r="K99" s="193"/>
    </row>
    <row r="100" spans="1:11" ht="18">
      <c r="A100" s="193"/>
      <c r="B100" s="197">
        <v>8</v>
      </c>
      <c r="C100" s="197" t="s">
        <v>172</v>
      </c>
      <c r="D100" s="197" t="s">
        <v>205</v>
      </c>
      <c r="E100" s="197">
        <v>11</v>
      </c>
      <c r="F100" s="197">
        <v>170</v>
      </c>
      <c r="G100" s="211">
        <v>1870</v>
      </c>
      <c r="H100" s="193"/>
      <c r="I100" s="193"/>
      <c r="J100" s="193"/>
      <c r="K100" s="193"/>
    </row>
    <row r="101" spans="1:11" ht="18">
      <c r="A101" s="193"/>
      <c r="B101" s="197">
        <v>9</v>
      </c>
      <c r="C101" s="197" t="s">
        <v>189</v>
      </c>
      <c r="D101" s="197" t="s">
        <v>282</v>
      </c>
      <c r="E101" s="197">
        <v>21</v>
      </c>
      <c r="F101" s="197">
        <v>150</v>
      </c>
      <c r="G101" s="211">
        <v>3150</v>
      </c>
      <c r="H101" s="193"/>
      <c r="I101" s="193"/>
      <c r="J101" s="193"/>
      <c r="K101" s="193"/>
    </row>
    <row r="102" spans="1:11" ht="18">
      <c r="A102" s="193"/>
      <c r="B102" s="193"/>
      <c r="C102" s="193"/>
      <c r="D102" s="193"/>
      <c r="E102" s="193"/>
      <c r="F102" s="193"/>
      <c r="G102" s="209"/>
      <c r="H102" s="193"/>
      <c r="I102" s="193"/>
      <c r="J102" s="193"/>
      <c r="K102" s="193"/>
    </row>
    <row r="103" spans="1:11" ht="24.75" customHeight="1">
      <c r="A103" s="192"/>
      <c r="B103" s="246" t="s">
        <v>314</v>
      </c>
      <c r="C103" s="246"/>
      <c r="D103" s="246"/>
      <c r="E103" s="246"/>
      <c r="F103" s="246"/>
      <c r="G103" s="246"/>
      <c r="H103" s="246"/>
      <c r="I103" s="246"/>
      <c r="J103" s="246"/>
      <c r="K103" s="246"/>
    </row>
    <row r="104" spans="1:11" ht="18">
      <c r="A104" s="193"/>
      <c r="B104" s="193"/>
      <c r="C104" s="193"/>
      <c r="D104" s="193"/>
      <c r="E104" s="193"/>
      <c r="F104" s="193"/>
      <c r="G104" s="209"/>
      <c r="H104" s="193"/>
      <c r="I104" s="193"/>
      <c r="J104" s="193"/>
      <c r="K104" s="193"/>
    </row>
    <row r="105" spans="1:11" ht="18">
      <c r="A105" s="193"/>
      <c r="B105" s="193"/>
      <c r="C105" s="193"/>
      <c r="D105" s="193"/>
      <c r="E105" s="193"/>
      <c r="F105" s="193"/>
      <c r="G105" s="209"/>
      <c r="H105" s="193"/>
      <c r="I105" s="193"/>
      <c r="J105" s="193"/>
      <c r="K105" s="193"/>
    </row>
    <row r="106" spans="1:11" ht="15" customHeight="1">
      <c r="A106" s="193"/>
      <c r="B106" s="203" t="s">
        <v>242</v>
      </c>
      <c r="C106" s="203" t="s">
        <v>243</v>
      </c>
      <c r="D106" s="203" t="s">
        <v>244</v>
      </c>
      <c r="E106" s="203" t="s">
        <v>315</v>
      </c>
      <c r="F106" s="193"/>
      <c r="G106" s="216" t="s">
        <v>6</v>
      </c>
      <c r="H106" s="249" t="s">
        <v>316</v>
      </c>
      <c r="I106" s="250"/>
      <c r="J106" s="193"/>
      <c r="K106" s="193"/>
    </row>
    <row r="107" spans="1:11" ht="15" customHeight="1">
      <c r="A107" s="193"/>
      <c r="B107" s="202">
        <v>12</v>
      </c>
      <c r="C107" s="202">
        <v>32</v>
      </c>
      <c r="D107" s="202">
        <v>45</v>
      </c>
      <c r="E107" s="208">
        <f>SUM(B107:D107)/300</f>
        <v>0.29666666666666669</v>
      </c>
      <c r="F107" s="193"/>
      <c r="G107" s="211">
        <v>10000</v>
      </c>
      <c r="H107" s="251">
        <f>G107+G107*10%</f>
        <v>11000</v>
      </c>
      <c r="I107" s="252"/>
      <c r="J107" s="193"/>
      <c r="K107" s="193"/>
    </row>
    <row r="108" spans="1:11" ht="15" customHeight="1">
      <c r="A108" s="193"/>
      <c r="B108" s="202">
        <v>32</v>
      </c>
      <c r="C108" s="202">
        <v>34</v>
      </c>
      <c r="D108" s="202">
        <v>65</v>
      </c>
      <c r="E108" s="208">
        <f t="shared" ref="E108:E110" si="0">SUM(B108:D108)/300</f>
        <v>0.43666666666666665</v>
      </c>
      <c r="F108" s="193"/>
      <c r="G108" s="211">
        <v>12000</v>
      </c>
      <c r="H108" s="251">
        <f t="shared" ref="H108:H110" si="1">G108+G108*10%</f>
        <v>13200</v>
      </c>
      <c r="I108" s="252"/>
      <c r="J108" s="193"/>
      <c r="K108" s="193"/>
    </row>
    <row r="109" spans="1:11" ht="15" customHeight="1">
      <c r="A109" s="193"/>
      <c r="B109" s="202">
        <v>23</v>
      </c>
      <c r="C109" s="202">
        <v>43</v>
      </c>
      <c r="D109" s="202">
        <v>56</v>
      </c>
      <c r="E109" s="208">
        <f t="shared" si="0"/>
        <v>0.40666666666666668</v>
      </c>
      <c r="F109" s="193"/>
      <c r="G109" s="211">
        <v>20000</v>
      </c>
      <c r="H109" s="251">
        <f t="shared" si="1"/>
        <v>22000</v>
      </c>
      <c r="I109" s="252"/>
      <c r="J109" s="193"/>
      <c r="K109" s="193"/>
    </row>
    <row r="110" spans="1:11" ht="15" customHeight="1">
      <c r="A110" s="193"/>
      <c r="B110" s="202">
        <v>43</v>
      </c>
      <c r="C110" s="202">
        <v>45</v>
      </c>
      <c r="D110" s="202">
        <v>54</v>
      </c>
      <c r="E110" s="208">
        <f t="shared" si="0"/>
        <v>0.47333333333333333</v>
      </c>
      <c r="F110" s="193"/>
      <c r="G110" s="211">
        <v>21000</v>
      </c>
      <c r="H110" s="251">
        <f t="shared" si="1"/>
        <v>23100</v>
      </c>
      <c r="I110" s="252"/>
      <c r="J110" s="193"/>
      <c r="K110" s="193"/>
    </row>
    <row r="111" spans="1:11" ht="18">
      <c r="A111" s="193"/>
      <c r="B111" s="193"/>
      <c r="C111" s="193"/>
      <c r="D111" s="193"/>
      <c r="E111" s="193"/>
      <c r="F111" s="193"/>
      <c r="G111" s="209"/>
      <c r="H111" s="193"/>
      <c r="I111" s="193"/>
      <c r="J111" s="193"/>
      <c r="K111" s="193"/>
    </row>
    <row r="112" spans="1:11" ht="18">
      <c r="A112" s="193"/>
      <c r="B112" s="193"/>
      <c r="C112" s="193"/>
      <c r="D112" s="193"/>
      <c r="E112" s="193"/>
      <c r="F112" s="193"/>
      <c r="G112" s="209"/>
      <c r="H112" s="193"/>
      <c r="I112" s="193"/>
      <c r="J112" s="193"/>
      <c r="K112" s="193"/>
    </row>
    <row r="113" spans="1:11" ht="15" customHeight="1">
      <c r="A113" s="193"/>
      <c r="B113" s="207" t="s">
        <v>258</v>
      </c>
      <c r="C113" s="207" t="s">
        <v>259</v>
      </c>
      <c r="D113" s="207" t="s">
        <v>317</v>
      </c>
      <c r="E113" s="193"/>
      <c r="F113" s="193"/>
      <c r="G113" s="216" t="s">
        <v>6</v>
      </c>
      <c r="H113" s="249" t="s">
        <v>318</v>
      </c>
      <c r="I113" s="250"/>
      <c r="J113" s="193"/>
      <c r="K113" s="193"/>
    </row>
    <row r="114" spans="1:11" ht="15" customHeight="1">
      <c r="A114" s="193"/>
      <c r="B114" s="202"/>
      <c r="C114" s="197">
        <v>100</v>
      </c>
      <c r="D114" s="197">
        <f>C114+C114*5%</f>
        <v>105</v>
      </c>
      <c r="E114" s="193"/>
      <c r="F114" s="193"/>
      <c r="G114" s="211">
        <v>10000</v>
      </c>
      <c r="H114" s="251">
        <f>G114-G114*10%</f>
        <v>9000</v>
      </c>
      <c r="I114" s="252"/>
      <c r="J114" s="193"/>
      <c r="K114" s="193"/>
    </row>
    <row r="115" spans="1:11" ht="15" customHeight="1">
      <c r="A115" s="193"/>
      <c r="B115" s="202"/>
      <c r="C115" s="197">
        <v>200</v>
      </c>
      <c r="D115" s="197">
        <f t="shared" ref="D115:D116" si="2">C115+C115*5%</f>
        <v>210</v>
      </c>
      <c r="E115" s="193"/>
      <c r="F115" s="193"/>
      <c r="G115" s="211">
        <v>12000</v>
      </c>
      <c r="H115" s="251">
        <f t="shared" ref="H115:H117" si="3">G115-G115*10%</f>
        <v>10800</v>
      </c>
      <c r="I115" s="252"/>
      <c r="J115" s="193"/>
      <c r="K115" s="193"/>
    </row>
    <row r="116" spans="1:11" ht="15" customHeight="1">
      <c r="A116" s="193"/>
      <c r="B116" s="202"/>
      <c r="C116" s="197">
        <v>300</v>
      </c>
      <c r="D116" s="197">
        <f>C116*5%</f>
        <v>15</v>
      </c>
      <c r="E116" s="193"/>
      <c r="F116" s="193"/>
      <c r="G116" s="211">
        <v>20000</v>
      </c>
      <c r="H116" s="251">
        <f t="shared" si="3"/>
        <v>18000</v>
      </c>
      <c r="I116" s="252"/>
      <c r="J116" s="193"/>
      <c r="K116" s="193"/>
    </row>
    <row r="117" spans="1:11" ht="15" customHeight="1">
      <c r="A117" s="193"/>
      <c r="B117" s="193"/>
      <c r="C117" s="193"/>
      <c r="D117" s="193"/>
      <c r="E117" s="193"/>
      <c r="F117" s="193"/>
      <c r="G117" s="211">
        <v>21000</v>
      </c>
      <c r="H117" s="251">
        <f t="shared" si="3"/>
        <v>18900</v>
      </c>
      <c r="I117" s="252"/>
      <c r="J117" s="193"/>
      <c r="K117" s="193"/>
    </row>
    <row r="118" spans="1:11" ht="18">
      <c r="A118" s="193"/>
      <c r="B118" s="193"/>
      <c r="C118" s="193"/>
      <c r="D118" s="193"/>
      <c r="E118" s="193"/>
      <c r="F118" s="193"/>
      <c r="G118" s="209"/>
      <c r="H118" s="193"/>
      <c r="I118" s="193"/>
      <c r="J118" s="193"/>
      <c r="K118" s="193"/>
    </row>
    <row r="119" spans="1:11" ht="18">
      <c r="A119" s="193"/>
      <c r="B119" s="193"/>
      <c r="C119" s="193"/>
      <c r="D119" s="193"/>
      <c r="E119" s="193"/>
      <c r="F119" s="193"/>
      <c r="G119" s="209"/>
      <c r="H119" s="193"/>
      <c r="I119" s="193"/>
      <c r="J119" s="193"/>
      <c r="K119" s="193"/>
    </row>
    <row r="120" spans="1:11" ht="27.75" customHeight="1">
      <c r="A120" s="192"/>
      <c r="B120" s="244" t="s">
        <v>319</v>
      </c>
      <c r="C120" s="244"/>
      <c r="D120" s="244"/>
      <c r="E120" s="244"/>
      <c r="F120" s="244"/>
      <c r="G120" s="244"/>
      <c r="H120" s="244"/>
      <c r="I120" s="244"/>
      <c r="J120" s="244"/>
      <c r="K120" s="244"/>
    </row>
    <row r="121" spans="1:11" ht="18">
      <c r="A121" s="193"/>
      <c r="B121" s="193"/>
      <c r="C121" s="193"/>
      <c r="D121" s="193"/>
      <c r="E121" s="193"/>
      <c r="F121" s="193"/>
      <c r="G121" s="209"/>
      <c r="H121" s="193"/>
      <c r="I121" s="193"/>
      <c r="J121" s="193"/>
      <c r="K121" s="193"/>
    </row>
    <row r="122" spans="1:11" ht="18">
      <c r="A122" s="193"/>
      <c r="B122" s="193"/>
      <c r="C122" s="193"/>
      <c r="D122" s="193"/>
      <c r="E122" s="193"/>
      <c r="F122" s="193"/>
      <c r="G122" s="209"/>
      <c r="H122" s="193"/>
      <c r="I122" s="193"/>
      <c r="J122" s="193"/>
      <c r="K122" s="193"/>
    </row>
    <row r="123" spans="1:11" ht="18">
      <c r="A123" s="193"/>
      <c r="B123" s="198" t="s">
        <v>320</v>
      </c>
      <c r="C123" s="193"/>
      <c r="D123" s="193"/>
      <c r="E123" s="193"/>
      <c r="F123" s="193"/>
      <c r="G123" s="209"/>
      <c r="H123" s="193"/>
      <c r="I123" s="193"/>
      <c r="J123" s="193"/>
      <c r="K123" s="193"/>
    </row>
    <row r="124" spans="1:11" ht="18">
      <c r="A124" s="193"/>
      <c r="B124" s="198">
        <v>-3</v>
      </c>
      <c r="C124" s="193"/>
      <c r="D124" s="198">
        <v>3</v>
      </c>
      <c r="E124" s="193"/>
      <c r="F124" s="193"/>
      <c r="G124" s="209"/>
      <c r="H124" s="193"/>
      <c r="I124" s="193"/>
      <c r="J124" s="193"/>
      <c r="K124" s="193"/>
    </row>
    <row r="125" spans="1:11" ht="18">
      <c r="A125" s="193"/>
      <c r="B125" s="198">
        <v>3</v>
      </c>
      <c r="C125" s="193"/>
      <c r="D125" s="198">
        <v>3</v>
      </c>
      <c r="E125" s="193"/>
      <c r="F125" s="193"/>
      <c r="G125" s="209"/>
      <c r="H125" s="193"/>
      <c r="I125" s="193"/>
      <c r="J125" s="193"/>
      <c r="K125" s="193"/>
    </row>
    <row r="126" spans="1:11" ht="18">
      <c r="A126" s="193"/>
      <c r="B126" s="198">
        <v>4</v>
      </c>
      <c r="C126" s="193"/>
      <c r="D126" s="198">
        <v>4</v>
      </c>
      <c r="E126" s="193"/>
      <c r="F126" s="193"/>
      <c r="G126" s="209"/>
      <c r="H126" s="193"/>
      <c r="I126" s="193"/>
      <c r="J126" s="193"/>
      <c r="K126" s="193"/>
    </row>
    <row r="127" spans="1:11" ht="18">
      <c r="A127" s="193"/>
      <c r="B127" s="198">
        <v>-4</v>
      </c>
      <c r="C127" s="193"/>
      <c r="D127" s="198">
        <v>4</v>
      </c>
      <c r="E127" s="193"/>
      <c r="F127" s="193"/>
      <c r="G127" s="209"/>
      <c r="H127" s="193"/>
      <c r="I127" s="193"/>
      <c r="J127" s="193"/>
      <c r="K127" s="193"/>
    </row>
    <row r="128" spans="1:11" ht="18">
      <c r="A128" s="193"/>
      <c r="B128" s="193"/>
      <c r="C128" s="193"/>
      <c r="D128" s="193"/>
      <c r="E128" s="193"/>
      <c r="F128" s="193"/>
      <c r="G128" s="209"/>
      <c r="H128" s="193"/>
      <c r="I128" s="193"/>
      <c r="J128" s="193"/>
      <c r="K128" s="193"/>
    </row>
    <row r="129" spans="1:11" ht="18">
      <c r="A129" s="193"/>
      <c r="B129" s="193"/>
      <c r="C129" s="193"/>
      <c r="D129" s="193"/>
      <c r="E129" s="193"/>
      <c r="F129" s="193"/>
      <c r="G129" s="209"/>
      <c r="H129" s="193"/>
      <c r="I129" s="193"/>
      <c r="J129" s="193"/>
      <c r="K129" s="193"/>
    </row>
    <row r="130" spans="1:11" ht="18">
      <c r="A130" s="193"/>
      <c r="B130" s="193"/>
      <c r="C130" s="193"/>
      <c r="D130" s="193"/>
      <c r="E130" s="193"/>
      <c r="F130" s="193"/>
      <c r="G130" s="209"/>
      <c r="H130" s="193"/>
      <c r="I130" s="193"/>
      <c r="J130" s="193"/>
      <c r="K130" s="193"/>
    </row>
    <row r="131" spans="1:11" ht="18">
      <c r="A131" s="193"/>
      <c r="B131" s="193"/>
      <c r="C131" s="193"/>
      <c r="D131" s="193"/>
      <c r="E131" s="193"/>
      <c r="F131" s="193"/>
      <c r="G131" s="209"/>
      <c r="H131" s="193"/>
      <c r="I131" s="193"/>
      <c r="J131" s="193"/>
      <c r="K131" s="193"/>
    </row>
    <row r="132" spans="1:11" ht="18">
      <c r="A132" s="193"/>
      <c r="B132" s="193"/>
      <c r="C132" s="193"/>
      <c r="D132" s="193"/>
      <c r="E132" s="193"/>
      <c r="F132" s="193"/>
      <c r="G132" s="209"/>
      <c r="H132" s="193"/>
      <c r="I132" s="193"/>
      <c r="J132" s="193"/>
      <c r="K132" s="193"/>
    </row>
    <row r="133" spans="1:11" ht="18">
      <c r="A133" s="193"/>
      <c r="B133" s="193"/>
      <c r="C133" s="193"/>
      <c r="D133" s="193"/>
      <c r="E133" s="193"/>
      <c r="F133" s="193"/>
      <c r="G133" s="209"/>
      <c r="H133" s="193"/>
      <c r="I133" s="193"/>
      <c r="J133" s="193"/>
      <c r="K133" s="193"/>
    </row>
    <row r="134" spans="1:11" ht="18">
      <c r="A134" s="193"/>
      <c r="B134" s="193"/>
      <c r="C134" s="193"/>
      <c r="D134" s="193"/>
      <c r="E134" s="193"/>
      <c r="F134" s="193"/>
      <c r="G134" s="209"/>
      <c r="H134" s="193"/>
      <c r="I134" s="193"/>
      <c r="J134" s="193"/>
      <c r="K134" s="193"/>
    </row>
    <row r="135" spans="1:11" ht="18">
      <c r="A135" s="193"/>
      <c r="B135" s="193"/>
      <c r="C135" s="193"/>
      <c r="D135" s="193"/>
      <c r="E135" s="193"/>
      <c r="F135" s="193"/>
      <c r="G135" s="209"/>
      <c r="H135" s="193"/>
      <c r="I135" s="193"/>
      <c r="J135" s="193"/>
      <c r="K135" s="193"/>
    </row>
    <row r="136" spans="1:11" ht="18">
      <c r="A136" s="193"/>
      <c r="B136" s="193"/>
      <c r="C136" s="193"/>
      <c r="D136" s="193"/>
      <c r="E136" s="193"/>
      <c r="F136" s="193"/>
      <c r="G136" s="209"/>
      <c r="H136" s="193"/>
      <c r="I136" s="193"/>
      <c r="J136" s="193"/>
      <c r="K136" s="193"/>
    </row>
    <row r="137" spans="1:11" ht="32.25" customHeight="1">
      <c r="A137" s="192"/>
      <c r="B137" s="244" t="s">
        <v>321</v>
      </c>
      <c r="C137" s="244"/>
      <c r="D137" s="244"/>
      <c r="E137" s="244"/>
      <c r="F137" s="244"/>
      <c r="G137" s="244"/>
      <c r="H137" s="244"/>
      <c r="I137" s="244"/>
      <c r="J137" s="244"/>
      <c r="K137" s="244"/>
    </row>
    <row r="138" spans="1:11" ht="18">
      <c r="A138" s="193"/>
      <c r="B138" s="193"/>
      <c r="C138" s="193"/>
      <c r="D138" s="193"/>
      <c r="E138" s="193"/>
      <c r="F138" s="193"/>
      <c r="G138" s="209"/>
      <c r="H138" s="193"/>
      <c r="I138" s="193"/>
      <c r="J138" s="193"/>
      <c r="K138" s="193"/>
    </row>
    <row r="139" spans="1:11" ht="18">
      <c r="A139" s="193"/>
      <c r="B139" s="193"/>
      <c r="C139" s="193"/>
      <c r="D139" s="193"/>
      <c r="E139" s="193"/>
      <c r="F139" s="193"/>
      <c r="G139" s="213" t="s">
        <v>280</v>
      </c>
      <c r="H139" s="201" t="s">
        <v>322</v>
      </c>
      <c r="I139" s="193"/>
      <c r="J139" s="193"/>
      <c r="K139" s="193"/>
    </row>
    <row r="140" spans="1:11" ht="18">
      <c r="A140" s="193"/>
      <c r="B140" s="193"/>
      <c r="C140" s="193"/>
      <c r="D140" s="193"/>
      <c r="E140" s="193"/>
      <c r="F140" s="193"/>
      <c r="G140" s="241" t="s">
        <v>172</v>
      </c>
      <c r="H140" s="198">
        <v>3</v>
      </c>
      <c r="I140" s="193"/>
      <c r="J140" s="193"/>
      <c r="K140" s="193"/>
    </row>
    <row r="141" spans="1:11" ht="18">
      <c r="A141" s="193"/>
      <c r="B141" s="193"/>
      <c r="C141" s="193"/>
      <c r="D141" s="193"/>
      <c r="E141" s="193"/>
      <c r="F141" s="193"/>
      <c r="G141" s="209"/>
      <c r="H141" s="193"/>
      <c r="I141" s="193"/>
      <c r="J141" s="193"/>
      <c r="K141" s="193"/>
    </row>
    <row r="142" spans="1:11" ht="15" customHeight="1">
      <c r="A142" s="193"/>
      <c r="B142" s="247" t="s">
        <v>2</v>
      </c>
      <c r="C142" s="248"/>
      <c r="D142" s="193"/>
      <c r="E142" s="193"/>
      <c r="F142" s="193"/>
      <c r="G142" s="213" t="s">
        <v>280</v>
      </c>
      <c r="H142" s="201" t="s">
        <v>281</v>
      </c>
      <c r="I142" s="201" t="s">
        <v>257</v>
      </c>
      <c r="J142" s="193"/>
      <c r="K142" s="193"/>
    </row>
    <row r="143" spans="1:11" ht="15" customHeight="1">
      <c r="A143" s="193"/>
      <c r="B143" s="253" t="s">
        <v>323</v>
      </c>
      <c r="C143" s="254"/>
      <c r="D143" s="198" t="s">
        <v>323</v>
      </c>
      <c r="E143" s="193"/>
      <c r="F143" s="193"/>
      <c r="G143" s="211" t="s">
        <v>172</v>
      </c>
      <c r="H143" s="197" t="s">
        <v>205</v>
      </c>
      <c r="I143" s="197">
        <v>1</v>
      </c>
      <c r="J143" s="193"/>
      <c r="K143" s="193"/>
    </row>
    <row r="144" spans="1:11" ht="15" customHeight="1">
      <c r="A144" s="193"/>
      <c r="B144" s="251" t="s">
        <v>324</v>
      </c>
      <c r="C144" s="252"/>
      <c r="D144" s="198" t="s">
        <v>324</v>
      </c>
      <c r="E144" s="193"/>
      <c r="F144" s="193"/>
      <c r="G144" s="211" t="s">
        <v>189</v>
      </c>
      <c r="H144" s="197" t="s">
        <v>282</v>
      </c>
      <c r="I144" s="197">
        <v>1</v>
      </c>
      <c r="J144" s="193"/>
      <c r="K144" s="193"/>
    </row>
    <row r="145" spans="1:11" ht="15" customHeight="1">
      <c r="A145" s="193"/>
      <c r="B145" s="251" t="s">
        <v>325</v>
      </c>
      <c r="C145" s="252"/>
      <c r="D145" s="198" t="s">
        <v>325</v>
      </c>
      <c r="E145" s="193"/>
      <c r="F145" s="193"/>
      <c r="G145" s="211" t="s">
        <v>172</v>
      </c>
      <c r="H145" s="197" t="s">
        <v>282</v>
      </c>
      <c r="I145" s="197">
        <v>1</v>
      </c>
      <c r="J145" s="193"/>
      <c r="K145" s="193"/>
    </row>
    <row r="146" spans="1:11" ht="15" customHeight="1">
      <c r="A146" s="193"/>
      <c r="B146" s="253" t="s">
        <v>326</v>
      </c>
      <c r="C146" s="254"/>
      <c r="D146" s="198" t="s">
        <v>326</v>
      </c>
      <c r="E146" s="193"/>
      <c r="F146" s="193"/>
      <c r="G146" s="211" t="s">
        <v>189</v>
      </c>
      <c r="H146" s="197" t="s">
        <v>205</v>
      </c>
      <c r="I146" s="197">
        <v>1</v>
      </c>
      <c r="J146" s="193"/>
      <c r="K146" s="193"/>
    </row>
    <row r="147" spans="1:11" ht="15" customHeight="1">
      <c r="A147" s="193"/>
      <c r="B147" s="253"/>
      <c r="C147" s="254"/>
      <c r="D147" s="193"/>
      <c r="E147" s="193"/>
      <c r="F147" s="193"/>
      <c r="G147" s="211" t="s">
        <v>172</v>
      </c>
      <c r="H147" s="197" t="s">
        <v>205</v>
      </c>
      <c r="I147" s="197">
        <v>1</v>
      </c>
      <c r="J147" s="193"/>
      <c r="K147" s="193"/>
    </row>
    <row r="148" spans="1:11" ht="18">
      <c r="A148" s="193"/>
      <c r="B148" s="193"/>
      <c r="C148" s="193"/>
      <c r="D148" s="193"/>
      <c r="E148" s="193"/>
      <c r="F148" s="193"/>
      <c r="G148" s="209"/>
      <c r="H148" s="193"/>
      <c r="I148" s="193"/>
      <c r="J148" s="193"/>
      <c r="K148" s="193"/>
    </row>
    <row r="149" spans="1:11" ht="18">
      <c r="A149" s="193"/>
      <c r="B149" s="193"/>
      <c r="C149" s="193"/>
      <c r="D149" s="193"/>
      <c r="E149" s="193"/>
      <c r="F149" s="193"/>
      <c r="G149" s="209"/>
      <c r="H149" s="193"/>
      <c r="I149" s="193"/>
      <c r="J149" s="193"/>
      <c r="K149" s="193"/>
    </row>
    <row r="150" spans="1:11" ht="18">
      <c r="A150" s="193"/>
      <c r="B150" s="193"/>
      <c r="C150" s="193"/>
      <c r="D150" s="193"/>
      <c r="E150" s="193"/>
      <c r="F150" s="193"/>
      <c r="G150" s="209"/>
      <c r="H150" s="193"/>
      <c r="I150" s="193"/>
      <c r="J150" s="193"/>
      <c r="K150" s="193"/>
    </row>
    <row r="151" spans="1:11" ht="18">
      <c r="A151" s="193"/>
      <c r="B151" s="193"/>
      <c r="C151" s="193"/>
      <c r="D151" s="193"/>
      <c r="E151" s="193"/>
      <c r="F151" s="193"/>
      <c r="G151" s="209"/>
      <c r="H151" s="193"/>
      <c r="I151" s="193"/>
      <c r="J151" s="193"/>
      <c r="K151" s="193"/>
    </row>
    <row r="152" spans="1:11" ht="18">
      <c r="A152" s="193"/>
      <c r="B152" s="193"/>
      <c r="C152" s="193"/>
      <c r="D152" s="193"/>
      <c r="E152" s="193"/>
      <c r="F152" s="193"/>
      <c r="G152" s="209"/>
      <c r="H152" s="193"/>
      <c r="I152" s="193"/>
      <c r="J152" s="193"/>
      <c r="K152" s="193"/>
    </row>
    <row r="153" spans="1:11" ht="18">
      <c r="A153" s="193"/>
      <c r="B153" s="193"/>
      <c r="C153" s="193"/>
      <c r="D153" s="193"/>
      <c r="E153" s="193"/>
      <c r="F153" s="193"/>
      <c r="G153" s="209"/>
      <c r="H153" s="193"/>
      <c r="I153" s="193"/>
      <c r="J153" s="193"/>
      <c r="K153" s="193"/>
    </row>
    <row r="154" spans="1:11" ht="27" customHeight="1">
      <c r="A154" s="192"/>
      <c r="B154" s="244" t="s">
        <v>327</v>
      </c>
      <c r="C154" s="244"/>
      <c r="D154" s="244"/>
      <c r="E154" s="244"/>
      <c r="F154" s="244"/>
      <c r="G154" s="244"/>
      <c r="H154" s="244"/>
      <c r="I154" s="244"/>
      <c r="J154" s="244"/>
      <c r="K154" s="244"/>
    </row>
    <row r="155" spans="1:11" ht="18">
      <c r="A155" s="193"/>
      <c r="B155" s="193"/>
      <c r="C155" s="193"/>
      <c r="D155" s="193"/>
      <c r="E155" s="193"/>
      <c r="F155" s="193"/>
      <c r="G155" s="209"/>
      <c r="H155" s="193"/>
      <c r="I155" s="193"/>
      <c r="J155" s="193"/>
      <c r="K155" s="193"/>
    </row>
    <row r="156" spans="1:11" ht="18">
      <c r="A156" s="193"/>
      <c r="B156" s="193"/>
      <c r="C156" s="193"/>
      <c r="D156" s="193"/>
      <c r="E156" s="193"/>
      <c r="F156" s="193"/>
      <c r="G156" s="209"/>
      <c r="H156" s="193"/>
      <c r="I156" s="193"/>
      <c r="J156" s="193"/>
      <c r="K156" s="193"/>
    </row>
    <row r="157" spans="1:11" ht="18">
      <c r="A157" s="193"/>
      <c r="B157" s="201" t="s">
        <v>328</v>
      </c>
      <c r="C157" s="201" t="s">
        <v>3</v>
      </c>
      <c r="D157" s="201" t="s">
        <v>4</v>
      </c>
      <c r="E157" s="197" t="s">
        <v>329</v>
      </c>
      <c r="F157" s="197" t="s">
        <v>330</v>
      </c>
      <c r="G157" s="211" t="s">
        <v>331</v>
      </c>
      <c r="H157" s="193"/>
      <c r="I157" s="193"/>
      <c r="J157" s="193"/>
      <c r="K157" s="193"/>
    </row>
    <row r="158" spans="1:11" ht="18">
      <c r="A158" s="193"/>
      <c r="B158" s="197" t="s">
        <v>332</v>
      </c>
      <c r="C158" s="197">
        <v>45</v>
      </c>
      <c r="D158" s="197" t="s">
        <v>8</v>
      </c>
      <c r="E158" s="197" t="s">
        <v>332</v>
      </c>
      <c r="F158" s="197" t="s">
        <v>333</v>
      </c>
      <c r="G158" s="211" t="s">
        <v>334</v>
      </c>
      <c r="H158" s="193"/>
      <c r="I158" s="193"/>
      <c r="J158" s="193"/>
      <c r="K158" s="193"/>
    </row>
    <row r="159" spans="1:11" ht="18">
      <c r="A159" s="193"/>
      <c r="B159" s="197" t="s">
        <v>335</v>
      </c>
      <c r="C159" s="197">
        <v>34</v>
      </c>
      <c r="D159" s="197" t="s">
        <v>8</v>
      </c>
      <c r="E159" s="197" t="s">
        <v>335</v>
      </c>
      <c r="F159" s="202"/>
      <c r="G159" s="217"/>
      <c r="H159" s="193"/>
      <c r="I159" s="193"/>
      <c r="J159" s="193"/>
      <c r="K159" s="193"/>
    </row>
    <row r="160" spans="1:11" ht="18">
      <c r="A160" s="193"/>
      <c r="B160" s="197" t="s">
        <v>336</v>
      </c>
      <c r="C160" s="197">
        <v>34</v>
      </c>
      <c r="D160" s="197" t="s">
        <v>8</v>
      </c>
      <c r="E160" s="197" t="s">
        <v>336</v>
      </c>
      <c r="F160" s="202"/>
      <c r="G160" s="217"/>
      <c r="H160" s="193"/>
      <c r="I160" s="193"/>
      <c r="J160" s="193"/>
      <c r="K160" s="193"/>
    </row>
    <row r="161" spans="1:11" ht="18">
      <c r="A161" s="193"/>
      <c r="B161" s="197" t="s">
        <v>337</v>
      </c>
      <c r="C161" s="197">
        <v>32</v>
      </c>
      <c r="D161" s="197" t="s">
        <v>8</v>
      </c>
      <c r="E161" s="197" t="s">
        <v>337</v>
      </c>
      <c r="F161" s="202"/>
      <c r="G161" s="217"/>
      <c r="H161" s="193"/>
      <c r="I161" s="193"/>
      <c r="J161" s="193"/>
      <c r="K161" s="193"/>
    </row>
    <row r="162" spans="1:11" ht="18">
      <c r="A162" s="193"/>
      <c r="B162" s="197" t="s">
        <v>332</v>
      </c>
      <c r="C162" s="197">
        <v>23</v>
      </c>
      <c r="D162" s="197" t="s">
        <v>8</v>
      </c>
      <c r="E162" s="197" t="s">
        <v>332</v>
      </c>
      <c r="F162" s="202"/>
      <c r="G162" s="217"/>
      <c r="H162" s="193"/>
      <c r="I162" s="193"/>
      <c r="J162" s="193"/>
      <c r="K162" s="193"/>
    </row>
    <row r="163" spans="1:11" ht="18">
      <c r="A163" s="193"/>
      <c r="B163" s="193"/>
      <c r="C163" s="193"/>
      <c r="D163" s="193"/>
      <c r="E163" s="193"/>
      <c r="F163" s="193"/>
      <c r="G163" s="209"/>
      <c r="H163" s="193"/>
      <c r="I163" s="193"/>
      <c r="J163" s="193"/>
      <c r="K163" s="193"/>
    </row>
    <row r="164" spans="1:11" ht="18">
      <c r="A164" s="193"/>
      <c r="B164" s="193"/>
      <c r="C164" s="193"/>
      <c r="D164" s="193"/>
      <c r="E164" s="193"/>
      <c r="F164" s="193"/>
      <c r="G164" s="209"/>
      <c r="H164" s="193"/>
      <c r="I164" s="193"/>
      <c r="J164" s="193"/>
      <c r="K164" s="193"/>
    </row>
    <row r="165" spans="1:11" ht="18">
      <c r="A165" s="193"/>
      <c r="B165" s="193"/>
      <c r="C165" s="193"/>
      <c r="D165" s="193"/>
      <c r="E165" s="193"/>
      <c r="F165" s="193"/>
      <c r="G165" s="209"/>
      <c r="H165" s="193"/>
      <c r="I165" s="193"/>
      <c r="J165" s="193"/>
      <c r="K165" s="193"/>
    </row>
    <row r="166" spans="1:11" ht="18">
      <c r="A166" s="193"/>
      <c r="B166" s="193"/>
      <c r="C166" s="193"/>
      <c r="D166" s="193"/>
      <c r="E166" s="193"/>
      <c r="F166" s="193"/>
      <c r="G166" s="209"/>
      <c r="H166" s="193"/>
      <c r="I166" s="193"/>
      <c r="J166" s="193"/>
      <c r="K166" s="193"/>
    </row>
    <row r="167" spans="1:11" ht="18">
      <c r="A167" s="193"/>
      <c r="B167" s="193"/>
      <c r="C167" s="193"/>
      <c r="D167" s="193"/>
      <c r="E167" s="193"/>
      <c r="F167" s="193"/>
      <c r="G167" s="209"/>
      <c r="H167" s="193"/>
      <c r="I167" s="193"/>
      <c r="J167" s="193"/>
      <c r="K167" s="193"/>
    </row>
    <row r="168" spans="1:11" ht="18">
      <c r="A168" s="193"/>
      <c r="B168" s="193"/>
      <c r="C168" s="193"/>
      <c r="D168" s="193"/>
      <c r="E168" s="193"/>
      <c r="F168" s="193"/>
      <c r="G168" s="209"/>
      <c r="H168" s="193"/>
      <c r="I168" s="193"/>
      <c r="J168" s="193"/>
      <c r="K168" s="193"/>
    </row>
    <row r="169" spans="1:11" ht="18">
      <c r="A169" s="193"/>
      <c r="B169" s="193"/>
      <c r="C169" s="193"/>
      <c r="D169" s="193"/>
      <c r="E169" s="193"/>
      <c r="F169" s="193"/>
      <c r="G169" s="209"/>
      <c r="H169" s="193"/>
      <c r="I169" s="193"/>
      <c r="J169" s="193"/>
      <c r="K169" s="193"/>
    </row>
    <row r="170" spans="1:11" ht="18">
      <c r="A170" s="193"/>
      <c r="B170" s="193"/>
      <c r="C170" s="193"/>
      <c r="D170" s="193"/>
      <c r="E170" s="193"/>
      <c r="F170" s="193"/>
      <c r="G170" s="209"/>
      <c r="H170" s="193"/>
      <c r="I170" s="193"/>
      <c r="J170" s="193"/>
      <c r="K170" s="193"/>
    </row>
    <row r="171" spans="1:11" ht="27.75" customHeight="1">
      <c r="A171" s="192"/>
      <c r="B171" s="244" t="s">
        <v>338</v>
      </c>
      <c r="C171" s="244"/>
      <c r="D171" s="244"/>
      <c r="E171" s="244"/>
      <c r="F171" s="244"/>
      <c r="G171" s="244"/>
      <c r="H171" s="244"/>
      <c r="I171" s="244"/>
      <c r="J171" s="244"/>
      <c r="K171" s="244"/>
    </row>
    <row r="172" spans="1:11" ht="18">
      <c r="A172" s="193"/>
      <c r="B172" s="193"/>
      <c r="C172" s="193"/>
      <c r="D172" s="193"/>
      <c r="E172" s="193"/>
      <c r="F172" s="193"/>
      <c r="G172" s="209"/>
      <c r="H172" s="193"/>
      <c r="I172" s="193"/>
      <c r="J172" s="193"/>
      <c r="K172" s="193"/>
    </row>
    <row r="173" spans="1:11" ht="15" customHeight="1">
      <c r="A173" s="193"/>
      <c r="B173" s="247" t="s">
        <v>328</v>
      </c>
      <c r="C173" s="255"/>
      <c r="D173" s="248"/>
      <c r="E173" s="193"/>
      <c r="F173" s="193"/>
      <c r="G173" s="209"/>
      <c r="H173" s="193"/>
      <c r="I173" s="193"/>
      <c r="J173" s="193"/>
      <c r="K173" s="193"/>
    </row>
    <row r="174" spans="1:11" ht="15" customHeight="1">
      <c r="A174" s="193"/>
      <c r="B174" s="201" t="s">
        <v>339</v>
      </c>
      <c r="C174" s="201" t="s">
        <v>340</v>
      </c>
      <c r="D174" s="201" t="s">
        <v>341</v>
      </c>
      <c r="E174" s="193"/>
      <c r="F174" s="247" t="s">
        <v>342</v>
      </c>
      <c r="G174" s="255"/>
      <c r="H174" s="255"/>
      <c r="I174" s="255"/>
      <c r="J174" s="248"/>
      <c r="K174" s="193"/>
    </row>
    <row r="175" spans="1:11" ht="15" customHeight="1">
      <c r="A175" s="193"/>
      <c r="B175" s="197" t="s">
        <v>343</v>
      </c>
      <c r="C175" s="197" t="s">
        <v>344</v>
      </c>
      <c r="D175" s="197" t="s">
        <v>345</v>
      </c>
      <c r="E175" s="193"/>
      <c r="F175" s="251" t="str">
        <f>CONCATENATE(B175," ",C175,D175)</f>
        <v>raj kumarsharma</v>
      </c>
      <c r="G175" s="256"/>
      <c r="H175" s="256"/>
      <c r="I175" s="256"/>
      <c r="J175" s="252"/>
      <c r="K175" s="193"/>
    </row>
    <row r="176" spans="1:11" ht="15" customHeight="1">
      <c r="A176" s="193"/>
      <c r="B176" s="197" t="s">
        <v>346</v>
      </c>
      <c r="C176" s="197" t="s">
        <v>347</v>
      </c>
      <c r="D176" s="202"/>
      <c r="E176" s="193"/>
      <c r="F176" s="251" t="s">
        <v>348</v>
      </c>
      <c r="G176" s="256"/>
      <c r="H176" s="256"/>
      <c r="I176" s="256"/>
      <c r="J176" s="252"/>
      <c r="K176" s="193"/>
    </row>
    <row r="177" spans="1:11" ht="15" customHeight="1">
      <c r="A177" s="193"/>
      <c r="B177" s="197" t="s">
        <v>349</v>
      </c>
      <c r="C177" s="202"/>
      <c r="D177" s="197" t="s">
        <v>345</v>
      </c>
      <c r="E177" s="193"/>
      <c r="F177" s="251" t="s">
        <v>350</v>
      </c>
      <c r="G177" s="256"/>
      <c r="H177" s="256"/>
      <c r="I177" s="256"/>
      <c r="J177" s="252"/>
      <c r="K177" s="193"/>
    </row>
    <row r="178" spans="1:11" ht="15" customHeight="1">
      <c r="A178" s="193"/>
      <c r="B178" s="197" t="s">
        <v>351</v>
      </c>
      <c r="C178" s="197" t="s">
        <v>352</v>
      </c>
      <c r="D178" s="197" t="s">
        <v>353</v>
      </c>
      <c r="E178" s="193"/>
      <c r="F178" s="251" t="s">
        <v>354</v>
      </c>
      <c r="G178" s="256"/>
      <c r="H178" s="256"/>
      <c r="I178" s="256"/>
      <c r="J178" s="252"/>
      <c r="K178" s="193"/>
    </row>
    <row r="179" spans="1:11" ht="18">
      <c r="A179" s="193"/>
      <c r="B179" s="193"/>
      <c r="C179" s="193"/>
      <c r="D179" s="193"/>
      <c r="E179" s="193"/>
      <c r="F179" s="193"/>
      <c r="G179" s="209"/>
      <c r="H179" s="193"/>
      <c r="I179" s="193"/>
      <c r="J179" s="193"/>
      <c r="K179" s="193"/>
    </row>
    <row r="180" spans="1:11" ht="18">
      <c r="A180" s="193"/>
      <c r="B180" s="193"/>
      <c r="C180" s="193"/>
      <c r="D180" s="193"/>
      <c r="E180" s="193"/>
      <c r="F180" s="193"/>
      <c r="G180" s="209"/>
      <c r="H180" s="193"/>
      <c r="I180" s="193"/>
      <c r="J180" s="193"/>
      <c r="K180" s="193"/>
    </row>
    <row r="181" spans="1:11" ht="15" customHeight="1">
      <c r="A181" s="193"/>
      <c r="B181" s="201" t="s">
        <v>355</v>
      </c>
      <c r="C181" s="201" t="s">
        <v>356</v>
      </c>
      <c r="D181" s="201" t="s">
        <v>357</v>
      </c>
      <c r="E181" s="201" t="s">
        <v>358</v>
      </c>
      <c r="F181" s="193"/>
      <c r="G181" s="260" t="s">
        <v>359</v>
      </c>
      <c r="H181" s="261"/>
      <c r="I181" s="261"/>
      <c r="J181" s="262"/>
      <c r="K181" s="193"/>
    </row>
    <row r="182" spans="1:11" ht="15" customHeight="1">
      <c r="A182" s="193"/>
      <c r="B182" s="197" t="s">
        <v>360</v>
      </c>
      <c r="C182" s="197" t="s">
        <v>29</v>
      </c>
      <c r="D182" s="197">
        <v>132102</v>
      </c>
      <c r="E182" s="197">
        <v>232323</v>
      </c>
      <c r="F182" s="193"/>
      <c r="G182" s="257"/>
      <c r="H182" s="258"/>
      <c r="I182" s="258"/>
      <c r="J182" s="259"/>
      <c r="K182" s="193"/>
    </row>
    <row r="183" spans="1:11" ht="15" customHeight="1">
      <c r="A183" s="193"/>
      <c r="B183" s="197" t="s">
        <v>361</v>
      </c>
      <c r="C183" s="197" t="s">
        <v>29</v>
      </c>
      <c r="D183" s="197">
        <v>121102</v>
      </c>
      <c r="E183" s="197">
        <v>232344</v>
      </c>
      <c r="F183" s="193"/>
      <c r="G183" s="257"/>
      <c r="H183" s="258"/>
      <c r="I183" s="258"/>
      <c r="J183" s="259"/>
      <c r="K183" s="193"/>
    </row>
    <row r="184" spans="1:11" ht="15" customHeight="1">
      <c r="A184" s="193"/>
      <c r="B184" s="197" t="s">
        <v>362</v>
      </c>
      <c r="C184" s="197" t="s">
        <v>29</v>
      </c>
      <c r="D184" s="197">
        <v>123203</v>
      </c>
      <c r="E184" s="197">
        <v>54344</v>
      </c>
      <c r="F184" s="193"/>
      <c r="G184" s="257"/>
      <c r="H184" s="258"/>
      <c r="I184" s="258"/>
      <c r="J184" s="259"/>
      <c r="K184" s="193"/>
    </row>
    <row r="185" spans="1:11" ht="18">
      <c r="A185" s="193"/>
      <c r="B185" s="193"/>
      <c r="C185" s="193"/>
      <c r="D185" s="193"/>
      <c r="E185" s="193"/>
      <c r="F185" s="193"/>
      <c r="G185" s="209"/>
      <c r="H185" s="193"/>
      <c r="I185" s="193"/>
      <c r="J185" s="193"/>
      <c r="K185" s="193"/>
    </row>
    <row r="186" spans="1:11" ht="18">
      <c r="A186" s="193"/>
      <c r="B186" s="193"/>
      <c r="C186" s="193"/>
      <c r="D186" s="193"/>
      <c r="E186" s="193"/>
      <c r="F186" s="193"/>
      <c r="G186" s="209"/>
      <c r="H186" s="193"/>
      <c r="I186" s="193"/>
      <c r="J186" s="193"/>
      <c r="K186" s="193"/>
    </row>
    <row r="187" spans="1:11" ht="18">
      <c r="A187" s="193"/>
      <c r="B187" s="193"/>
      <c r="C187" s="193"/>
      <c r="D187" s="193"/>
      <c r="E187" s="193"/>
      <c r="F187" s="193"/>
      <c r="G187" s="209"/>
      <c r="H187" s="193"/>
      <c r="I187" s="193"/>
      <c r="J187" s="193"/>
      <c r="K187" s="193"/>
    </row>
    <row r="188" spans="1:11" ht="25.5" customHeight="1">
      <c r="A188" s="192"/>
      <c r="B188" s="244" t="s">
        <v>363</v>
      </c>
      <c r="C188" s="244"/>
      <c r="D188" s="244"/>
      <c r="E188" s="244"/>
      <c r="F188" s="244"/>
      <c r="G188" s="244"/>
      <c r="H188" s="244"/>
      <c r="I188" s="244"/>
      <c r="J188" s="244"/>
      <c r="K188" s="244"/>
    </row>
    <row r="189" spans="1:11" ht="18">
      <c r="A189" s="193"/>
      <c r="B189" s="193"/>
      <c r="C189" s="193"/>
      <c r="D189" s="193"/>
      <c r="E189" s="193"/>
      <c r="F189" s="193"/>
      <c r="G189" s="209"/>
      <c r="H189" s="193"/>
      <c r="I189" s="193"/>
      <c r="J189" s="193"/>
      <c r="K189" s="193"/>
    </row>
    <row r="190" spans="1:11" ht="18">
      <c r="A190" s="193"/>
      <c r="B190" s="193"/>
      <c r="C190" s="193"/>
      <c r="D190" s="193"/>
      <c r="E190" s="193"/>
      <c r="F190" s="193"/>
      <c r="G190" s="209"/>
      <c r="H190" s="193"/>
      <c r="I190" s="193"/>
      <c r="J190" s="193"/>
      <c r="K190" s="193"/>
    </row>
    <row r="191" spans="1:11" ht="15" customHeight="1">
      <c r="A191" s="193"/>
      <c r="B191" s="247" t="s">
        <v>328</v>
      </c>
      <c r="C191" s="255"/>
      <c r="D191" s="248"/>
      <c r="E191" s="193"/>
      <c r="F191" s="193"/>
      <c r="G191" s="209"/>
      <c r="H191" s="193"/>
      <c r="I191" s="193"/>
      <c r="J191" s="193"/>
      <c r="K191" s="193"/>
    </row>
    <row r="192" spans="1:11" ht="15" customHeight="1">
      <c r="A192" s="193"/>
      <c r="B192" s="201" t="s">
        <v>339</v>
      </c>
      <c r="C192" s="201" t="s">
        <v>340</v>
      </c>
      <c r="D192" s="201" t="s">
        <v>341</v>
      </c>
      <c r="E192" s="193"/>
      <c r="F192" s="193"/>
      <c r="G192" s="260" t="s">
        <v>342</v>
      </c>
      <c r="H192" s="261"/>
      <c r="I192" s="262"/>
      <c r="J192" s="193"/>
      <c r="K192" s="193"/>
    </row>
    <row r="193" spans="1:11" ht="15" customHeight="1">
      <c r="A193" s="193"/>
      <c r="B193" s="197" t="s">
        <v>343</v>
      </c>
      <c r="C193" s="197" t="s">
        <v>344</v>
      </c>
      <c r="D193" s="197" t="s">
        <v>345</v>
      </c>
      <c r="E193" s="193"/>
      <c r="F193" s="193"/>
      <c r="G193" s="263" t="str">
        <f>_xlfn.CONCAT(B193:D193)</f>
        <v>rajkumarsharma</v>
      </c>
      <c r="H193" s="264"/>
      <c r="I193" s="265"/>
      <c r="J193" s="193"/>
      <c r="K193" s="193"/>
    </row>
    <row r="194" spans="1:11" ht="15" customHeight="1">
      <c r="A194" s="193"/>
      <c r="B194" s="197" t="s">
        <v>346</v>
      </c>
      <c r="C194" s="197" t="s">
        <v>347</v>
      </c>
      <c r="D194" s="202"/>
      <c r="E194" s="193"/>
      <c r="F194" s="193"/>
      <c r="G194" s="257"/>
      <c r="H194" s="258"/>
      <c r="I194" s="259"/>
      <c r="J194" s="193"/>
      <c r="K194" s="193"/>
    </row>
    <row r="195" spans="1:11" ht="15" customHeight="1">
      <c r="A195" s="193"/>
      <c r="B195" s="197" t="s">
        <v>349</v>
      </c>
      <c r="C195" s="202"/>
      <c r="D195" s="197" t="s">
        <v>345</v>
      </c>
      <c r="E195" s="193"/>
      <c r="F195" s="193"/>
      <c r="G195" s="263" t="str">
        <f>_xlfn.TEXTJOIN(" ",FALSE,B195:D195)</f>
        <v>abi  sharma</v>
      </c>
      <c r="H195" s="264"/>
      <c r="I195" s="265"/>
      <c r="J195" s="193"/>
      <c r="K195" s="193"/>
    </row>
    <row r="196" spans="1:11" ht="15" customHeight="1">
      <c r="A196" s="193"/>
      <c r="B196" s="197" t="s">
        <v>351</v>
      </c>
      <c r="C196" s="197" t="s">
        <v>352</v>
      </c>
      <c r="D196" s="197" t="s">
        <v>353</v>
      </c>
      <c r="E196" s="193"/>
      <c r="F196" s="193"/>
      <c r="G196" s="263"/>
      <c r="H196" s="264"/>
      <c r="I196" s="265"/>
      <c r="J196" s="193"/>
      <c r="K196" s="193"/>
    </row>
    <row r="197" spans="1:11" ht="18">
      <c r="A197" s="193"/>
      <c r="B197" s="193"/>
      <c r="C197" s="193"/>
      <c r="D197" s="193"/>
      <c r="E197" s="193"/>
      <c r="F197" s="193"/>
      <c r="G197" s="209"/>
      <c r="H197" s="193"/>
      <c r="I197" s="193"/>
      <c r="J197" s="193"/>
      <c r="K197" s="193"/>
    </row>
    <row r="198" spans="1:11" ht="18">
      <c r="A198" s="193"/>
      <c r="B198" s="193"/>
      <c r="C198" s="193"/>
      <c r="D198" s="193"/>
      <c r="E198" s="193"/>
      <c r="F198" s="193"/>
      <c r="G198" s="209"/>
      <c r="H198" s="193"/>
      <c r="I198" s="193"/>
      <c r="J198" s="193"/>
      <c r="K198" s="193"/>
    </row>
    <row r="199" spans="1:11" ht="18">
      <c r="A199" s="193"/>
      <c r="B199" s="201" t="s">
        <v>355</v>
      </c>
      <c r="C199" s="201" t="s">
        <v>356</v>
      </c>
      <c r="D199" s="201" t="s">
        <v>357</v>
      </c>
      <c r="E199" s="201" t="s">
        <v>358</v>
      </c>
      <c r="F199" s="193"/>
      <c r="G199" s="213" t="s">
        <v>359</v>
      </c>
      <c r="H199" s="207"/>
      <c r="I199" s="207"/>
      <c r="J199" s="207"/>
      <c r="K199" s="193"/>
    </row>
    <row r="200" spans="1:11" ht="76.5" customHeight="1">
      <c r="A200" s="193"/>
      <c r="B200" s="197" t="s">
        <v>360</v>
      </c>
      <c r="C200" s="197" t="s">
        <v>29</v>
      </c>
      <c r="D200" s="197">
        <v>132102</v>
      </c>
      <c r="E200" s="197">
        <v>232323</v>
      </c>
      <c r="F200" s="193"/>
      <c r="G200" s="263" t="str">
        <f>_xlfn.TEXTJOIN(CHAR(10),TRUE,B200:E200)</f>
        <v>Delhi
HR
132102
232323</v>
      </c>
      <c r="H200" s="264"/>
      <c r="I200" s="264"/>
      <c r="J200" s="265"/>
      <c r="K200" s="193"/>
    </row>
    <row r="201" spans="1:11" ht="15" customHeight="1">
      <c r="A201" s="193"/>
      <c r="B201" s="197" t="s">
        <v>361</v>
      </c>
      <c r="C201" s="197" t="s">
        <v>29</v>
      </c>
      <c r="D201" s="197">
        <v>121102</v>
      </c>
      <c r="E201" s="197">
        <v>232344</v>
      </c>
      <c r="F201" s="193"/>
      <c r="G201" s="263"/>
      <c r="H201" s="264"/>
      <c r="I201" s="264"/>
      <c r="J201" s="265"/>
      <c r="K201" s="193"/>
    </row>
    <row r="202" spans="1:11" ht="15" customHeight="1">
      <c r="A202" s="193"/>
      <c r="B202" s="197" t="s">
        <v>362</v>
      </c>
      <c r="C202" s="197" t="s">
        <v>29</v>
      </c>
      <c r="D202" s="197">
        <v>123203</v>
      </c>
      <c r="E202" s="197">
        <v>54344</v>
      </c>
      <c r="F202" s="193"/>
      <c r="G202" s="263"/>
      <c r="H202" s="264"/>
      <c r="I202" s="264"/>
      <c r="J202" s="265"/>
      <c r="K202" s="193"/>
    </row>
    <row r="203" spans="1:11" ht="18">
      <c r="A203" s="193"/>
      <c r="B203" s="193"/>
      <c r="C203" s="193"/>
      <c r="D203" s="193"/>
      <c r="E203" s="193"/>
      <c r="F203" s="193"/>
      <c r="G203" s="209"/>
      <c r="H203" s="193"/>
      <c r="I203" s="193"/>
      <c r="J203" s="193"/>
      <c r="K203" s="193"/>
    </row>
    <row r="204" spans="1:11" ht="18">
      <c r="A204" s="193"/>
      <c r="B204" s="193"/>
      <c r="C204" s="193"/>
      <c r="D204" s="193"/>
      <c r="E204" s="193"/>
      <c r="F204" s="193"/>
      <c r="G204" s="209"/>
      <c r="H204" s="193"/>
      <c r="I204" s="193"/>
      <c r="J204" s="193"/>
      <c r="K204" s="193"/>
    </row>
    <row r="205" spans="1:11" ht="32.25" customHeight="1">
      <c r="A205" s="192"/>
      <c r="B205" s="244" t="s">
        <v>364</v>
      </c>
      <c r="C205" s="244"/>
      <c r="D205" s="244"/>
      <c r="E205" s="244"/>
      <c r="F205" s="244"/>
      <c r="G205" s="244"/>
      <c r="H205" s="244"/>
      <c r="I205" s="244"/>
      <c r="J205" s="244"/>
      <c r="K205" s="244"/>
    </row>
    <row r="206" spans="1:11" ht="18">
      <c r="A206" s="193"/>
      <c r="B206" s="193"/>
      <c r="C206" s="193"/>
      <c r="D206" s="193"/>
      <c r="E206" s="193"/>
      <c r="F206" s="193"/>
      <c r="G206" s="209"/>
      <c r="H206" s="193"/>
      <c r="I206" s="193"/>
      <c r="J206" s="193"/>
      <c r="K206" s="193"/>
    </row>
    <row r="207" spans="1:11" ht="15" customHeight="1">
      <c r="A207" s="193"/>
      <c r="B207" s="193"/>
      <c r="C207" s="198" t="s">
        <v>365</v>
      </c>
      <c r="D207" s="198" t="s">
        <v>366</v>
      </c>
      <c r="E207" s="193"/>
      <c r="F207" s="193"/>
      <c r="G207" s="209"/>
      <c r="H207" s="193"/>
      <c r="I207" s="266" t="s">
        <v>367</v>
      </c>
      <c r="J207" s="266"/>
      <c r="K207" s="193"/>
    </row>
    <row r="208" spans="1:11" ht="15" customHeight="1">
      <c r="A208" s="193"/>
      <c r="B208" s="201" t="s">
        <v>368</v>
      </c>
      <c r="C208" s="201" t="s">
        <v>369</v>
      </c>
      <c r="D208" s="201" t="s">
        <v>368</v>
      </c>
      <c r="E208" s="193"/>
      <c r="F208" s="247" t="s">
        <v>370</v>
      </c>
      <c r="G208" s="255"/>
      <c r="H208" s="255"/>
      <c r="I208" s="247" t="s">
        <v>368</v>
      </c>
      <c r="J208" s="248"/>
      <c r="K208" s="193"/>
    </row>
    <row r="209" spans="1:17" ht="15" customHeight="1">
      <c r="A209" s="193"/>
      <c r="B209" s="197" t="s">
        <v>371</v>
      </c>
      <c r="C209" s="197" t="str">
        <f>LEFT(B209,3)</f>
        <v>011</v>
      </c>
      <c r="D209" s="197" t="str">
        <f>RIGHT(B209,5)</f>
        <v>23423</v>
      </c>
      <c r="E209" s="193"/>
      <c r="F209" s="251" t="s">
        <v>372</v>
      </c>
      <c r="G209" s="256"/>
      <c r="H209" s="256"/>
      <c r="I209" s="251" t="str">
        <f>MID(F209,7,9)</f>
        <v>011-32343</v>
      </c>
      <c r="J209" s="252"/>
      <c r="K209" s="193"/>
    </row>
    <row r="210" spans="1:17" ht="15" customHeight="1">
      <c r="A210" s="193"/>
      <c r="B210" s="197" t="s">
        <v>373</v>
      </c>
      <c r="C210" s="197" t="str">
        <f t="shared" ref="C210:C212" si="4">LEFT(B210,3)</f>
        <v>365</v>
      </c>
      <c r="D210" s="197" t="str">
        <f t="shared" ref="D210:D212" si="5">RIGHT(B210,5)</f>
        <v>34222</v>
      </c>
      <c r="E210" s="193"/>
      <c r="F210" s="251" t="s">
        <v>374</v>
      </c>
      <c r="G210" s="256"/>
      <c r="H210" s="256"/>
      <c r="I210" s="251"/>
      <c r="J210" s="252"/>
      <c r="K210" s="193"/>
    </row>
    <row r="211" spans="1:17" ht="15" customHeight="1">
      <c r="A211" s="193"/>
      <c r="B211" s="197" t="s">
        <v>375</v>
      </c>
      <c r="C211" s="197" t="str">
        <f t="shared" si="4"/>
        <v>221</v>
      </c>
      <c r="D211" s="197" t="str">
        <f t="shared" si="5"/>
        <v>34343</v>
      </c>
      <c r="E211" s="193"/>
      <c r="F211" s="251" t="s">
        <v>376</v>
      </c>
      <c r="G211" s="256"/>
      <c r="H211" s="256"/>
      <c r="I211" s="251"/>
      <c r="J211" s="252"/>
      <c r="K211" s="193"/>
    </row>
    <row r="212" spans="1:17" ht="15" customHeight="1">
      <c r="A212" s="193"/>
      <c r="B212" s="197" t="s">
        <v>377</v>
      </c>
      <c r="C212" s="197" t="str">
        <f t="shared" si="4"/>
        <v>544</v>
      </c>
      <c r="D212" s="197" t="str">
        <f t="shared" si="5"/>
        <v>34432</v>
      </c>
      <c r="E212" s="193"/>
      <c r="F212" s="251" t="s">
        <v>378</v>
      </c>
      <c r="G212" s="256"/>
      <c r="H212" s="256"/>
      <c r="I212" s="251"/>
      <c r="J212" s="252"/>
      <c r="K212" s="193"/>
    </row>
    <row r="213" spans="1:17" ht="18">
      <c r="A213" s="193"/>
      <c r="B213" s="193"/>
      <c r="C213" s="193"/>
      <c r="D213" s="193"/>
      <c r="E213" s="193"/>
      <c r="F213" s="193"/>
      <c r="G213" s="209"/>
      <c r="H213" s="193"/>
      <c r="I213" s="193"/>
      <c r="J213" s="193"/>
      <c r="K213" s="193"/>
    </row>
    <row r="214" spans="1:17" ht="18">
      <c r="A214" s="193"/>
      <c r="B214" s="193"/>
      <c r="C214" s="193"/>
      <c r="D214" s="193"/>
      <c r="E214" s="193"/>
      <c r="F214" s="193"/>
      <c r="G214" s="209"/>
      <c r="H214" s="193"/>
      <c r="I214" s="193"/>
      <c r="J214" s="193"/>
      <c r="K214" s="193"/>
    </row>
    <row r="215" spans="1:17" ht="15" customHeight="1">
      <c r="A215" s="193"/>
      <c r="B215" s="247" t="s">
        <v>370</v>
      </c>
      <c r="C215" s="255"/>
      <c r="D215" s="255"/>
      <c r="E215" s="193"/>
      <c r="F215" s="247" t="s">
        <v>368</v>
      </c>
      <c r="G215" s="248"/>
      <c r="H215" s="247" t="s">
        <v>379</v>
      </c>
      <c r="I215" s="248"/>
      <c r="J215" s="193"/>
      <c r="K215" s="193"/>
    </row>
    <row r="216" spans="1:17" ht="15" customHeight="1">
      <c r="A216" s="193"/>
      <c r="B216" s="251" t="s">
        <v>380</v>
      </c>
      <c r="C216" s="256"/>
      <c r="D216" s="252"/>
      <c r="E216" s="193" t="str">
        <f>LEFT(B216,FIND("-",B216)-1)</f>
        <v xml:space="preserve">011 </v>
      </c>
      <c r="F216" s="251">
        <v>9823244433</v>
      </c>
      <c r="G216" s="252"/>
      <c r="H216" s="251" t="str">
        <f>LEFT(F216,3)&amp;"****"&amp;RIGHT(F216,3)</f>
        <v>982****433</v>
      </c>
      <c r="I216" s="252"/>
      <c r="J216" s="193"/>
      <c r="K216" s="193" t="str">
        <f ca="1">_xlfn.FORMULATEXT(H216)</f>
        <v>=LEFT(F216,3)&amp;"****"&amp;RIGHT(F216,3)</v>
      </c>
    </row>
    <row r="217" spans="1:17" ht="15" customHeight="1">
      <c r="A217" s="193"/>
      <c r="B217" s="251" t="s">
        <v>381</v>
      </c>
      <c r="C217" s="256"/>
      <c r="D217" s="252"/>
      <c r="E217" s="193" t="str">
        <f t="shared" ref="E217:E219" si="6">LEFT(B217,FIND("-",B217)-1)</f>
        <v xml:space="preserve">01274 </v>
      </c>
      <c r="F217" s="251">
        <v>9823244434</v>
      </c>
      <c r="G217" s="252"/>
      <c r="H217" s="251" t="str">
        <f t="shared" ref="H217:H219" si="7">LEFT(F217,3)&amp;"****"&amp;RIGHT(F217,3)</f>
        <v>982****434</v>
      </c>
      <c r="I217" s="252"/>
      <c r="J217" s="193"/>
      <c r="K217" s="193"/>
    </row>
    <row r="218" spans="1:17" ht="15" customHeight="1">
      <c r="A218" s="193"/>
      <c r="B218" s="251" t="s">
        <v>382</v>
      </c>
      <c r="C218" s="256"/>
      <c r="D218" s="252"/>
      <c r="E218" s="193" t="str">
        <f t="shared" si="6"/>
        <v xml:space="preserve">91 </v>
      </c>
      <c r="F218" s="251">
        <v>9823244435</v>
      </c>
      <c r="G218" s="252"/>
      <c r="H218" s="251" t="str">
        <f t="shared" si="7"/>
        <v>982****435</v>
      </c>
      <c r="I218" s="252"/>
      <c r="J218" s="193"/>
      <c r="K218" s="193"/>
    </row>
    <row r="219" spans="1:17" ht="15" customHeight="1">
      <c r="A219" s="193"/>
      <c r="B219" s="251" t="s">
        <v>383</v>
      </c>
      <c r="C219" s="256"/>
      <c r="D219" s="252"/>
      <c r="E219" s="193" t="str">
        <f t="shared" si="6"/>
        <v xml:space="preserve">0112 </v>
      </c>
      <c r="F219" s="251">
        <v>9823244436</v>
      </c>
      <c r="G219" s="252"/>
      <c r="H219" s="251" t="str">
        <f t="shared" si="7"/>
        <v>982****436</v>
      </c>
      <c r="I219" s="252"/>
      <c r="J219" s="193"/>
      <c r="K219" s="193"/>
    </row>
    <row r="220" spans="1:17" ht="18">
      <c r="A220" s="193"/>
      <c r="B220" s="193"/>
      <c r="C220" s="193"/>
      <c r="D220" s="193"/>
      <c r="E220" s="193"/>
      <c r="F220" s="193"/>
      <c r="G220" s="209"/>
      <c r="H220" s="193"/>
      <c r="I220" s="193"/>
      <c r="J220" s="193"/>
      <c r="K220" s="193"/>
    </row>
    <row r="221" spans="1:17" ht="25.5" customHeight="1">
      <c r="A221" s="192"/>
      <c r="B221" s="244" t="s">
        <v>384</v>
      </c>
      <c r="C221" s="244"/>
      <c r="D221" s="244"/>
      <c r="E221" s="244"/>
      <c r="F221" s="244"/>
      <c r="G221" s="244"/>
      <c r="H221" s="244"/>
      <c r="I221" s="244"/>
      <c r="J221" s="244"/>
      <c r="K221" s="244"/>
    </row>
    <row r="222" spans="1:17" ht="18">
      <c r="A222" s="193"/>
      <c r="B222" s="193"/>
      <c r="C222" s="193"/>
      <c r="D222" s="193"/>
      <c r="E222" s="193"/>
      <c r="F222" s="193"/>
      <c r="G222" s="209"/>
      <c r="H222" s="193"/>
      <c r="I222" s="193"/>
      <c r="J222" s="193"/>
      <c r="K222" s="193"/>
    </row>
    <row r="223" spans="1:17" ht="18.75">
      <c r="A223" s="193"/>
      <c r="B223" s="193"/>
      <c r="C223" s="193"/>
      <c r="D223" s="193"/>
      <c r="E223" s="193"/>
      <c r="F223" s="193"/>
      <c r="G223" s="209"/>
      <c r="H223" s="221" t="s">
        <v>385</v>
      </c>
      <c r="I223" s="193"/>
      <c r="J223" s="193"/>
      <c r="K223" s="193"/>
      <c r="Q223" t="s">
        <v>386</v>
      </c>
    </row>
    <row r="224" spans="1:17" ht="15" customHeight="1">
      <c r="A224" s="193"/>
      <c r="B224" s="247" t="s">
        <v>368</v>
      </c>
      <c r="C224" s="248"/>
      <c r="D224" s="247" t="s">
        <v>379</v>
      </c>
      <c r="E224" s="248"/>
      <c r="F224" s="193"/>
      <c r="G224" s="209"/>
      <c r="H224" s="222" t="s">
        <v>85</v>
      </c>
      <c r="I224" s="193"/>
      <c r="J224" s="193"/>
      <c r="K224" s="193"/>
    </row>
    <row r="225" spans="1:18" ht="15" customHeight="1">
      <c r="A225" s="193"/>
      <c r="B225" s="251">
        <v>9823244433</v>
      </c>
      <c r="C225" s="252"/>
      <c r="D225" s="251" t="s">
        <v>387</v>
      </c>
      <c r="E225" s="252"/>
      <c r="F225" s="193"/>
      <c r="G225" s="218" t="s">
        <v>388</v>
      </c>
      <c r="H225" s="193" t="s">
        <v>64</v>
      </c>
      <c r="I225" s="193" t="str" cm="1">
        <f t="array" ref="I225:I229">_xlfn._xlws.SORT(H225:H229,1)</f>
        <v>HANU</v>
      </c>
      <c r="J225" s="193" t="str" cm="1">
        <f t="array" ref="J225:J231">_xlfn._xlws.SORT(Table3[[#All],[HARSHA]])</f>
        <v>HANU</v>
      </c>
      <c r="K225" s="193"/>
      <c r="L225" s="63" t="s">
        <v>389</v>
      </c>
      <c r="M225" s="63" t="s">
        <v>217</v>
      </c>
      <c r="N225" s="63" t="s">
        <v>390</v>
      </c>
      <c r="P225" s="63" t="s">
        <v>389</v>
      </c>
      <c r="Q225" s="63" t="s">
        <v>217</v>
      </c>
      <c r="R225" s="63" t="s">
        <v>390</v>
      </c>
    </row>
    <row r="226" spans="1:18" ht="15" customHeight="1">
      <c r="A226" s="193"/>
      <c r="B226" s="251">
        <v>9823244434</v>
      </c>
      <c r="C226" s="252"/>
      <c r="D226" s="251" t="s">
        <v>391</v>
      </c>
      <c r="E226" s="252"/>
      <c r="F226" s="193"/>
      <c r="G226" s="209"/>
      <c r="H226" s="193" t="s">
        <v>66</v>
      </c>
      <c r="I226" s="193" t="str">
        <v>HARSHA</v>
      </c>
      <c r="J226" s="193" t="str">
        <v>HARSHA</v>
      </c>
      <c r="K226" s="193"/>
      <c r="L226" s="63" t="s">
        <v>392</v>
      </c>
      <c r="M226" s="63" t="s">
        <v>386</v>
      </c>
      <c r="N226" s="63">
        <v>456</v>
      </c>
      <c r="P226" t="str" cm="1">
        <f t="array" ref="P226:R227">_xlfn._xlws.SORT(_xlfn._xlws.FILTER(L226:N231,M226:M231=Q223),3,-1)</f>
        <v>ITEM1</v>
      </c>
      <c r="Q226" t="str">
        <v>WEST</v>
      </c>
      <c r="R226">
        <v>456</v>
      </c>
    </row>
    <row r="227" spans="1:18" ht="18">
      <c r="A227" s="193"/>
      <c r="B227" s="193"/>
      <c r="C227" s="193"/>
      <c r="D227" s="193"/>
      <c r="E227" s="193"/>
      <c r="F227" s="193"/>
      <c r="G227" s="209"/>
      <c r="H227" s="193" t="s">
        <v>70</v>
      </c>
      <c r="I227" s="193" t="str">
        <v>MANDEEP</v>
      </c>
      <c r="J227" s="193" t="str">
        <v>MANAV</v>
      </c>
      <c r="K227" s="193"/>
      <c r="L227" s="63" t="s">
        <v>393</v>
      </c>
      <c r="M227" s="63" t="s">
        <v>394</v>
      </c>
      <c r="N227" s="63">
        <v>990</v>
      </c>
      <c r="P227" t="str">
        <v>ITEM4</v>
      </c>
      <c r="Q227" t="str">
        <v>WEST</v>
      </c>
      <c r="R227">
        <v>345</v>
      </c>
    </row>
    <row r="228" spans="1:18" ht="15" customHeight="1">
      <c r="A228" s="193"/>
      <c r="B228" s="193"/>
      <c r="C228" s="193"/>
      <c r="D228" s="271">
        <v>46037.645138888889</v>
      </c>
      <c r="E228" s="252"/>
      <c r="F228" s="193"/>
      <c r="G228" s="209"/>
      <c r="H228" s="193" t="s">
        <v>68</v>
      </c>
      <c r="I228" s="193" t="str">
        <v>RIO</v>
      </c>
      <c r="J228" s="193" t="str">
        <v>MANDEEP</v>
      </c>
      <c r="K228" s="193"/>
      <c r="L228" s="63" t="s">
        <v>395</v>
      </c>
      <c r="M228" s="63" t="s">
        <v>396</v>
      </c>
      <c r="N228" s="63">
        <v>786</v>
      </c>
    </row>
    <row r="229" spans="1:18" ht="18">
      <c r="A229" s="193"/>
      <c r="B229" s="193"/>
      <c r="C229" s="193"/>
      <c r="D229" s="193"/>
      <c r="E229" s="193"/>
      <c r="F229" s="193"/>
      <c r="G229" s="209"/>
      <c r="H229" s="193" t="s">
        <v>397</v>
      </c>
      <c r="I229" s="193" t="str">
        <v>RUHI</v>
      </c>
      <c r="J229" s="193" t="str">
        <v>RIO</v>
      </c>
      <c r="K229" s="193"/>
      <c r="L229" s="63" t="s">
        <v>398</v>
      </c>
      <c r="M229" s="63" t="s">
        <v>386</v>
      </c>
      <c r="N229" s="63">
        <v>345</v>
      </c>
    </row>
    <row r="230" spans="1:18" ht="18">
      <c r="A230" s="193"/>
      <c r="B230" s="193"/>
      <c r="C230" s="193"/>
      <c r="D230" s="193"/>
      <c r="E230" s="193"/>
      <c r="F230" s="193"/>
      <c r="G230" s="209"/>
      <c r="H230" s="193" t="s">
        <v>399</v>
      </c>
      <c r="I230" s="193"/>
      <c r="J230" s="193" t="str">
        <v>RUHI</v>
      </c>
      <c r="K230" s="193"/>
      <c r="L230" s="63" t="s">
        <v>400</v>
      </c>
      <c r="M230" s="63" t="s">
        <v>394</v>
      </c>
      <c r="N230" s="63">
        <v>567</v>
      </c>
    </row>
    <row r="231" spans="1:18" ht="18">
      <c r="A231" s="193"/>
      <c r="B231" s="193"/>
      <c r="C231" s="193"/>
      <c r="D231" s="193"/>
      <c r="E231" s="193"/>
      <c r="F231" s="193"/>
      <c r="G231" s="209"/>
      <c r="H231" s="193" t="s">
        <v>401</v>
      </c>
      <c r="I231" s="193"/>
      <c r="J231" s="193" t="str">
        <v>ZOYA</v>
      </c>
      <c r="K231" s="193"/>
      <c r="L231" s="63" t="s">
        <v>402</v>
      </c>
      <c r="M231" s="63" t="s">
        <v>396</v>
      </c>
      <c r="N231" s="63">
        <v>234</v>
      </c>
    </row>
    <row r="232" spans="1:18" ht="18">
      <c r="A232" s="193"/>
      <c r="B232" s="193"/>
      <c r="C232" s="193"/>
      <c r="D232" s="193"/>
      <c r="E232" s="193"/>
      <c r="F232" s="193"/>
      <c r="G232" s="209"/>
      <c r="H232" s="193"/>
      <c r="I232" s="193"/>
      <c r="J232" s="193"/>
      <c r="K232" s="193"/>
    </row>
    <row r="233" spans="1:18" ht="18">
      <c r="A233" s="193"/>
      <c r="B233" s="193"/>
      <c r="C233" s="193"/>
      <c r="D233" s="193"/>
      <c r="E233" s="193"/>
      <c r="F233" s="193"/>
      <c r="G233" s="209"/>
      <c r="H233" s="193"/>
      <c r="I233" s="193"/>
      <c r="J233" s="193"/>
      <c r="K233" s="193"/>
    </row>
    <row r="234" spans="1:18" ht="18">
      <c r="A234" s="193"/>
      <c r="B234" s="193"/>
      <c r="C234" s="193"/>
      <c r="D234" s="193"/>
      <c r="E234" s="193"/>
      <c r="F234" s="193"/>
      <c r="G234" s="209"/>
      <c r="H234" s="193"/>
      <c r="I234" s="193"/>
      <c r="J234" s="193"/>
      <c r="K234" s="193"/>
    </row>
    <row r="235" spans="1:18" ht="18">
      <c r="A235" s="193"/>
      <c r="B235" s="193"/>
      <c r="C235" s="193"/>
      <c r="D235" s="193"/>
      <c r="E235" s="193"/>
      <c r="F235" s="193"/>
      <c r="G235" s="209"/>
      <c r="H235" s="193"/>
      <c r="I235" s="193"/>
      <c r="J235" s="193"/>
      <c r="K235" s="193"/>
    </row>
    <row r="236" spans="1:18" ht="18">
      <c r="A236" s="193"/>
      <c r="B236" s="193"/>
      <c r="C236" s="193"/>
      <c r="D236" s="193"/>
      <c r="E236" s="193"/>
      <c r="F236" s="193"/>
      <c r="G236" s="209"/>
      <c r="H236" s="193"/>
      <c r="I236" s="193"/>
      <c r="J236" s="193"/>
      <c r="K236" s="193"/>
    </row>
    <row r="237" spans="1:18" ht="15" customHeight="1">
      <c r="A237" s="192"/>
      <c r="B237" s="244" t="s">
        <v>403</v>
      </c>
      <c r="C237" s="244"/>
      <c r="D237" s="244"/>
      <c r="E237" s="244"/>
      <c r="F237" s="244"/>
      <c r="G237" s="244"/>
      <c r="H237" s="244"/>
      <c r="I237" s="244"/>
      <c r="J237" s="244"/>
      <c r="K237" s="244"/>
    </row>
    <row r="238" spans="1:18" ht="18">
      <c r="A238" s="193"/>
      <c r="B238" s="193"/>
      <c r="C238" s="193"/>
      <c r="D238" s="193"/>
      <c r="E238" s="193"/>
      <c r="F238" s="193"/>
      <c r="G238" s="209"/>
      <c r="H238" s="193"/>
      <c r="I238" s="193"/>
      <c r="J238" s="193"/>
      <c r="K238" s="193"/>
    </row>
    <row r="239" spans="1:18" ht="18">
      <c r="A239" s="193"/>
      <c r="B239" s="193"/>
      <c r="C239" s="193"/>
      <c r="D239" s="193"/>
      <c r="E239" s="193"/>
      <c r="F239" s="193"/>
      <c r="G239" s="209"/>
      <c r="H239" s="193"/>
      <c r="I239" s="193"/>
      <c r="J239" s="193"/>
      <c r="K239" s="193"/>
    </row>
    <row r="240" spans="1:18" ht="15" customHeight="1">
      <c r="A240" s="193"/>
      <c r="B240" s="193"/>
      <c r="C240" s="247" t="s">
        <v>404</v>
      </c>
      <c r="D240" s="248"/>
      <c r="E240" s="193"/>
      <c r="F240" s="247" t="s">
        <v>405</v>
      </c>
      <c r="G240" s="255"/>
      <c r="H240" s="255"/>
      <c r="I240" s="248"/>
      <c r="J240" s="193"/>
      <c r="K240" s="193"/>
    </row>
    <row r="241" spans="1:11" ht="15" customHeight="1">
      <c r="A241" s="193"/>
      <c r="B241" s="193"/>
      <c r="C241" s="267">
        <v>44564</v>
      </c>
      <c r="D241" s="252"/>
      <c r="E241" s="193"/>
      <c r="F241" s="268">
        <f>EDATE(C241,-1)</f>
        <v>44533</v>
      </c>
      <c r="G241" s="269"/>
      <c r="H241" s="269"/>
      <c r="I241" s="270"/>
      <c r="J241" s="193"/>
      <c r="K241" s="193"/>
    </row>
    <row r="242" spans="1:11" ht="15" customHeight="1">
      <c r="A242" s="193"/>
      <c r="B242" s="193"/>
      <c r="C242" s="267">
        <v>43835</v>
      </c>
      <c r="D242" s="252"/>
      <c r="E242" s="220">
        <v>46037</v>
      </c>
      <c r="F242" s="268">
        <f t="shared" ref="F242:F244" si="8">EDATE(C242,1)</f>
        <v>43866</v>
      </c>
      <c r="G242" s="269"/>
      <c r="H242" s="269"/>
      <c r="I242" s="270"/>
      <c r="J242" s="193"/>
      <c r="K242" s="193"/>
    </row>
    <row r="243" spans="1:11" ht="15" customHeight="1">
      <c r="A243" s="193"/>
      <c r="B243" s="193"/>
      <c r="C243" s="251" t="s">
        <v>406</v>
      </c>
      <c r="D243" s="252"/>
      <c r="E243" s="193"/>
      <c r="F243" s="268" t="e">
        <f t="shared" si="8"/>
        <v>#VALUE!</v>
      </c>
      <c r="G243" s="269"/>
      <c r="H243" s="269"/>
      <c r="I243" s="270"/>
      <c r="J243" s="193"/>
      <c r="K243" s="193"/>
    </row>
    <row r="244" spans="1:11" ht="15" customHeight="1">
      <c r="A244" s="193"/>
      <c r="B244" s="193"/>
      <c r="C244" s="267">
        <v>43831</v>
      </c>
      <c r="D244" s="252"/>
      <c r="E244" s="193"/>
      <c r="F244" s="268">
        <f t="shared" si="8"/>
        <v>43862</v>
      </c>
      <c r="G244" s="269"/>
      <c r="H244" s="269"/>
      <c r="I244" s="270"/>
      <c r="J244" s="193"/>
      <c r="K244" s="193"/>
    </row>
    <row r="245" spans="1:11" ht="15" customHeight="1">
      <c r="A245" s="193"/>
      <c r="B245" s="193"/>
      <c r="C245" s="275"/>
      <c r="D245" s="275"/>
      <c r="E245" s="193"/>
      <c r="F245" s="193"/>
      <c r="G245" s="209"/>
      <c r="H245" s="193"/>
      <c r="I245" s="193"/>
      <c r="J245" s="193"/>
      <c r="K245" s="193"/>
    </row>
    <row r="246" spans="1:11" ht="15" customHeight="1">
      <c r="A246" s="193"/>
      <c r="B246" s="193"/>
      <c r="C246" s="274"/>
      <c r="D246" s="274"/>
      <c r="E246" s="193"/>
      <c r="F246" s="193"/>
      <c r="G246" s="209"/>
      <c r="H246" s="193"/>
      <c r="I246" s="193"/>
      <c r="J246" s="193"/>
      <c r="K246" s="193"/>
    </row>
    <row r="247" spans="1:11" ht="15" customHeight="1">
      <c r="A247" s="193"/>
      <c r="B247" s="193"/>
      <c r="C247" s="247" t="s">
        <v>404</v>
      </c>
      <c r="D247" s="248"/>
      <c r="E247" s="193"/>
      <c r="F247" s="247" t="s">
        <v>404</v>
      </c>
      <c r="G247" s="248"/>
      <c r="H247" s="193"/>
      <c r="I247" s="193"/>
      <c r="J247" s="193"/>
      <c r="K247" s="193"/>
    </row>
    <row r="248" spans="1:11" ht="15" customHeight="1">
      <c r="A248" s="193"/>
      <c r="B248" s="193"/>
      <c r="C248" s="267">
        <v>44199</v>
      </c>
      <c r="D248" s="252"/>
      <c r="E248" s="193"/>
      <c r="F248" s="268">
        <f>EOMONTH(F241,0)</f>
        <v>44561</v>
      </c>
      <c r="G248" s="270"/>
      <c r="H248" s="193"/>
      <c r="I248" s="193"/>
      <c r="J248" s="193"/>
      <c r="K248" s="193"/>
    </row>
    <row r="249" spans="1:11" ht="15" customHeight="1">
      <c r="A249" s="193"/>
      <c r="B249" s="193"/>
      <c r="C249" s="267">
        <v>45843</v>
      </c>
      <c r="D249" s="252"/>
      <c r="E249" s="193"/>
      <c r="F249" s="272">
        <f>EOMONTH(C249,1)</f>
        <v>45900</v>
      </c>
      <c r="G249" s="273"/>
      <c r="H249" s="193"/>
      <c r="I249" s="274"/>
      <c r="J249" s="274"/>
      <c r="K249" s="193"/>
    </row>
    <row r="250" spans="1:11" ht="15" customHeight="1">
      <c r="A250" s="193"/>
      <c r="B250" s="193"/>
      <c r="C250" s="267"/>
      <c r="D250" s="252"/>
      <c r="E250" s="193"/>
      <c r="F250" s="253"/>
      <c r="G250" s="254"/>
      <c r="H250" s="193"/>
      <c r="I250" s="193"/>
      <c r="J250" s="193"/>
      <c r="K250" s="193"/>
    </row>
    <row r="251" spans="1:11" ht="15" customHeight="1">
      <c r="A251" s="193"/>
      <c r="B251" s="193"/>
      <c r="C251" s="251"/>
      <c r="D251" s="252"/>
      <c r="E251" s="193"/>
      <c r="F251" s="253"/>
      <c r="G251" s="254"/>
      <c r="H251" s="193"/>
      <c r="I251" s="193"/>
      <c r="J251" s="193"/>
      <c r="K251" s="193"/>
    </row>
  </sheetData>
  <mergeCells count="112">
    <mergeCell ref="C249:D249"/>
    <mergeCell ref="F249:G249"/>
    <mergeCell ref="I249:J249"/>
    <mergeCell ref="C250:D250"/>
    <mergeCell ref="F250:G250"/>
    <mergeCell ref="C251:D251"/>
    <mergeCell ref="F251:G251"/>
    <mergeCell ref="C245:D245"/>
    <mergeCell ref="C246:D246"/>
    <mergeCell ref="C247:D247"/>
    <mergeCell ref="F247:G247"/>
    <mergeCell ref="C248:D248"/>
    <mergeCell ref="F248:G248"/>
    <mergeCell ref="C242:D242"/>
    <mergeCell ref="F242:I242"/>
    <mergeCell ref="C243:D243"/>
    <mergeCell ref="F243:I243"/>
    <mergeCell ref="C244:D244"/>
    <mergeCell ref="F244:I244"/>
    <mergeCell ref="D228:E228"/>
    <mergeCell ref="B237:K237"/>
    <mergeCell ref="C240:D240"/>
    <mergeCell ref="F240:I240"/>
    <mergeCell ref="C241:D241"/>
    <mergeCell ref="F241:I241"/>
    <mergeCell ref="B221:K221"/>
    <mergeCell ref="B224:C224"/>
    <mergeCell ref="D224:E224"/>
    <mergeCell ref="B225:C225"/>
    <mergeCell ref="D225:E225"/>
    <mergeCell ref="B226:C226"/>
    <mergeCell ref="D226:E226"/>
    <mergeCell ref="B218:D218"/>
    <mergeCell ref="F218:G218"/>
    <mergeCell ref="H218:I218"/>
    <mergeCell ref="B219:D219"/>
    <mergeCell ref="F219:G219"/>
    <mergeCell ref="H219:I219"/>
    <mergeCell ref="B216:D216"/>
    <mergeCell ref="F216:G216"/>
    <mergeCell ref="H216:I216"/>
    <mergeCell ref="B217:D217"/>
    <mergeCell ref="F217:G217"/>
    <mergeCell ref="H217:I217"/>
    <mergeCell ref="F211:H211"/>
    <mergeCell ref="I211:J211"/>
    <mergeCell ref="F212:H212"/>
    <mergeCell ref="I212:J212"/>
    <mergeCell ref="B215:D215"/>
    <mergeCell ref="F215:G215"/>
    <mergeCell ref="H215:I215"/>
    <mergeCell ref="I207:J207"/>
    <mergeCell ref="F208:H208"/>
    <mergeCell ref="I208:J208"/>
    <mergeCell ref="F209:H209"/>
    <mergeCell ref="I209:J209"/>
    <mergeCell ref="F210:H210"/>
    <mergeCell ref="I210:J210"/>
    <mergeCell ref="G195:I195"/>
    <mergeCell ref="G196:I196"/>
    <mergeCell ref="G200:J200"/>
    <mergeCell ref="G201:J201"/>
    <mergeCell ref="G202:J202"/>
    <mergeCell ref="B205:K205"/>
    <mergeCell ref="G184:J184"/>
    <mergeCell ref="B188:K188"/>
    <mergeCell ref="B191:D191"/>
    <mergeCell ref="G192:I192"/>
    <mergeCell ref="G193:I193"/>
    <mergeCell ref="G194:I194"/>
    <mergeCell ref="F176:J176"/>
    <mergeCell ref="F177:J177"/>
    <mergeCell ref="F178:J178"/>
    <mergeCell ref="G181:J181"/>
    <mergeCell ref="G182:J182"/>
    <mergeCell ref="G183:J183"/>
    <mergeCell ref="B147:C147"/>
    <mergeCell ref="B154:K154"/>
    <mergeCell ref="B171:K171"/>
    <mergeCell ref="B173:D173"/>
    <mergeCell ref="F174:J174"/>
    <mergeCell ref="F175:J175"/>
    <mergeCell ref="B137:K137"/>
    <mergeCell ref="B142:C142"/>
    <mergeCell ref="B143:C143"/>
    <mergeCell ref="B144:C144"/>
    <mergeCell ref="B145:C145"/>
    <mergeCell ref="B146:C146"/>
    <mergeCell ref="H113:I113"/>
    <mergeCell ref="H114:I114"/>
    <mergeCell ref="H115:I115"/>
    <mergeCell ref="H116:I116"/>
    <mergeCell ref="H117:I117"/>
    <mergeCell ref="B120:K120"/>
    <mergeCell ref="B103:K103"/>
    <mergeCell ref="H106:I106"/>
    <mergeCell ref="H107:I107"/>
    <mergeCell ref="H108:I108"/>
    <mergeCell ref="H109:I109"/>
    <mergeCell ref="H110:I110"/>
    <mergeCell ref="B66:C66"/>
    <mergeCell ref="B69:K69"/>
    <mergeCell ref="G71:J71"/>
    <mergeCell ref="G72:J72"/>
    <mergeCell ref="G73:J73"/>
    <mergeCell ref="B86:K86"/>
    <mergeCell ref="B1:K1"/>
    <mergeCell ref="B18:K18"/>
    <mergeCell ref="B35:K35"/>
    <mergeCell ref="C49:D49"/>
    <mergeCell ref="C50:D50"/>
    <mergeCell ref="B52:K52"/>
  </mergeCells>
  <dataValidations count="1">
    <dataValidation type="list" allowBlank="1" showInputMessage="1" showErrorMessage="1" sqref="D66" xr:uid="{C987DF16-3DC9-4EEC-A539-A74252598822}">
      <formula1>$I$56:$I$62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C513-D2CC-4FCA-A4CA-906B5CFAAAC1}">
  <dimension ref="A1:I150"/>
  <sheetViews>
    <sheetView workbookViewId="0">
      <selection activeCell="I2" sqref="I2:I150"/>
    </sheetView>
  </sheetViews>
  <sheetFormatPr defaultRowHeight="15"/>
  <cols>
    <col min="1" max="1" width="29.85546875" bestFit="1" customWidth="1"/>
    <col min="3" max="3" width="13.5703125" bestFit="1" customWidth="1"/>
    <col min="4" max="4" width="9.7109375" bestFit="1" customWidth="1"/>
    <col min="7" max="7" width="16.42578125" bestFit="1" customWidth="1"/>
    <col min="8" max="8" width="11.7109375" bestFit="1" customWidth="1"/>
    <col min="9" max="9" width="17.7109375" bestFit="1" customWidth="1"/>
  </cols>
  <sheetData>
    <row r="1" spans="1:9">
      <c r="A1" s="223" t="s">
        <v>407</v>
      </c>
      <c r="B1" s="223" t="s">
        <v>408</v>
      </c>
      <c r="C1" s="223" t="s">
        <v>409</v>
      </c>
      <c r="D1" s="223" t="s">
        <v>410</v>
      </c>
      <c r="E1" s="223" t="s">
        <v>411</v>
      </c>
      <c r="F1" s="223" t="s">
        <v>412</v>
      </c>
      <c r="G1" s="223" t="s">
        <v>413</v>
      </c>
      <c r="H1" s="223" t="s">
        <v>414</v>
      </c>
      <c r="I1" s="223" t="s">
        <v>415</v>
      </c>
    </row>
    <row r="2" spans="1:9">
      <c r="A2" s="224" t="s">
        <v>416</v>
      </c>
      <c r="B2" s="226">
        <v>2.5567129629629631E-2</v>
      </c>
      <c r="C2" s="226">
        <v>2.1111111111111112E-2</v>
      </c>
      <c r="D2" s="226">
        <v>0</v>
      </c>
      <c r="E2" s="226">
        <v>0</v>
      </c>
      <c r="F2" s="226">
        <v>0</v>
      </c>
      <c r="G2" s="226">
        <v>0</v>
      </c>
      <c r="H2" s="226">
        <v>0</v>
      </c>
      <c r="I2" s="226">
        <v>4.7708333333333332E-2</v>
      </c>
    </row>
    <row r="3" spans="1:9">
      <c r="A3" s="224" t="s">
        <v>417</v>
      </c>
      <c r="B3" s="226">
        <v>2.7731481481481482E-2</v>
      </c>
      <c r="C3" s="226">
        <v>2.0775462962962964E-2</v>
      </c>
      <c r="D3" s="226">
        <v>0</v>
      </c>
      <c r="E3" s="226">
        <v>0</v>
      </c>
      <c r="F3" s="226">
        <v>0</v>
      </c>
      <c r="G3" s="226">
        <v>0</v>
      </c>
      <c r="H3" s="226">
        <v>0</v>
      </c>
      <c r="I3" s="226">
        <v>4.8599537037037038E-2</v>
      </c>
    </row>
    <row r="4" spans="1:9">
      <c r="A4" s="224" t="s">
        <v>418</v>
      </c>
      <c r="B4" s="226">
        <v>2.7650462962962963E-2</v>
      </c>
      <c r="C4" s="226">
        <v>2.0706018518518519E-2</v>
      </c>
      <c r="D4" s="226">
        <v>0</v>
      </c>
      <c r="E4" s="226">
        <v>0</v>
      </c>
      <c r="F4" s="226">
        <v>0</v>
      </c>
      <c r="G4" s="226">
        <v>2.8819444444444444E-3</v>
      </c>
      <c r="H4" s="226">
        <v>0</v>
      </c>
      <c r="I4" s="226">
        <v>5.1319444444444445E-2</v>
      </c>
    </row>
    <row r="5" spans="1:9">
      <c r="A5" s="224" t="s">
        <v>419</v>
      </c>
      <c r="B5" s="226">
        <v>2.7280092592592592E-2</v>
      </c>
      <c r="C5" s="226">
        <v>1.5509259259259259E-2</v>
      </c>
      <c r="D5" s="226">
        <v>4.9282407407407407E-2</v>
      </c>
      <c r="E5" s="226">
        <v>0</v>
      </c>
      <c r="F5" s="226">
        <v>0</v>
      </c>
      <c r="G5" s="226">
        <v>0</v>
      </c>
      <c r="H5" s="226">
        <v>0</v>
      </c>
      <c r="I5" s="226">
        <v>9.6550925925925929E-2</v>
      </c>
    </row>
    <row r="6" spans="1:9">
      <c r="A6" s="224" t="s">
        <v>420</v>
      </c>
      <c r="B6" s="226">
        <v>0</v>
      </c>
      <c r="C6" s="226">
        <v>2.0648148148148148E-2</v>
      </c>
      <c r="D6" s="226">
        <v>0</v>
      </c>
      <c r="E6" s="226">
        <v>0</v>
      </c>
      <c r="F6" s="226">
        <v>2.0497685185185185E-2</v>
      </c>
      <c r="G6" s="226">
        <v>0</v>
      </c>
      <c r="H6" s="226">
        <v>8.7037037037037038E-2</v>
      </c>
      <c r="I6" s="226">
        <v>0.12844907407407408</v>
      </c>
    </row>
    <row r="7" spans="1:9">
      <c r="A7" s="224" t="s">
        <v>421</v>
      </c>
      <c r="B7" s="226">
        <v>0</v>
      </c>
      <c r="C7" s="226">
        <v>1.037037037037037E-2</v>
      </c>
      <c r="D7" s="226">
        <v>0</v>
      </c>
      <c r="E7" s="226">
        <v>0</v>
      </c>
      <c r="F7" s="226">
        <v>0</v>
      </c>
      <c r="G7" s="226">
        <v>7.083333333333333E-3</v>
      </c>
      <c r="H7" s="226">
        <v>0</v>
      </c>
      <c r="I7" s="226">
        <v>1.8831018518518518E-2</v>
      </c>
    </row>
    <row r="8" spans="1:9">
      <c r="A8" s="224" t="s">
        <v>422</v>
      </c>
      <c r="B8" s="226">
        <v>2.7766203703703703E-2</v>
      </c>
      <c r="C8" s="226">
        <v>2.0810185185185185E-2</v>
      </c>
      <c r="D8" s="226">
        <v>0</v>
      </c>
      <c r="E8" s="226">
        <v>0</v>
      </c>
      <c r="F8" s="226">
        <v>0</v>
      </c>
      <c r="G8" s="226">
        <v>0</v>
      </c>
      <c r="H8" s="226">
        <v>6.3599537037037038E-2</v>
      </c>
      <c r="I8" s="226">
        <v>0.11229166666666666</v>
      </c>
    </row>
    <row r="9" spans="1:9">
      <c r="A9" s="224" t="s">
        <v>423</v>
      </c>
      <c r="B9" s="226">
        <v>2.8043981481481482E-2</v>
      </c>
      <c r="C9" s="226">
        <v>2.0439814814814813E-2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5.0810185185185187E-2</v>
      </c>
    </row>
    <row r="10" spans="1:9">
      <c r="A10" s="224" t="s">
        <v>424</v>
      </c>
      <c r="B10" s="226">
        <v>2.7719907407407408E-2</v>
      </c>
      <c r="C10" s="226">
        <v>1.7233796296296296E-2</v>
      </c>
      <c r="D10" s="226">
        <v>0</v>
      </c>
      <c r="E10" s="226">
        <v>0</v>
      </c>
      <c r="F10" s="226">
        <v>0</v>
      </c>
      <c r="G10" s="226">
        <v>0</v>
      </c>
      <c r="H10" s="226">
        <v>0</v>
      </c>
      <c r="I10" s="226">
        <v>4.628472222222222E-2</v>
      </c>
    </row>
    <row r="11" spans="1:9">
      <c r="A11" s="224" t="s">
        <v>425</v>
      </c>
      <c r="B11" s="226">
        <v>2.7673611111111111E-2</v>
      </c>
      <c r="C11" s="226">
        <v>2.0821759259259259E-2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4.8576388888888891E-2</v>
      </c>
    </row>
    <row r="12" spans="1:9">
      <c r="A12" s="224" t="s">
        <v>426</v>
      </c>
      <c r="B12" s="226">
        <v>2.7557870370370371E-2</v>
      </c>
      <c r="C12" s="226">
        <v>2.042824074074074E-2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4.809027777777778E-2</v>
      </c>
    </row>
    <row r="13" spans="1:9">
      <c r="A13" s="224" t="s">
        <v>427</v>
      </c>
      <c r="B13" s="226">
        <v>2.7141203703703702E-2</v>
      </c>
      <c r="C13" s="226">
        <v>2.0821759259259259E-2</v>
      </c>
      <c r="D13" s="226">
        <v>0</v>
      </c>
      <c r="E13" s="226">
        <v>4.5185185185185182E-2</v>
      </c>
      <c r="F13" s="226">
        <v>2.1111111111111112E-2</v>
      </c>
      <c r="G13" s="226">
        <v>8.7037037037037031E-3</v>
      </c>
      <c r="H13" s="226">
        <v>0</v>
      </c>
      <c r="I13" s="226">
        <v>0.12590277777777778</v>
      </c>
    </row>
    <row r="14" spans="1:9">
      <c r="A14" s="224" t="s">
        <v>428</v>
      </c>
      <c r="B14" s="226">
        <v>2.7152777777777779E-2</v>
      </c>
      <c r="C14" s="226">
        <v>1.7650462962962962E-2</v>
      </c>
      <c r="D14" s="226">
        <v>0</v>
      </c>
      <c r="E14" s="226">
        <v>4.2731481481481481E-2</v>
      </c>
      <c r="F14" s="226">
        <v>0</v>
      </c>
      <c r="G14" s="226">
        <v>0</v>
      </c>
      <c r="H14" s="226">
        <v>0</v>
      </c>
      <c r="I14" s="226">
        <v>8.7974537037037032E-2</v>
      </c>
    </row>
    <row r="15" spans="1:9">
      <c r="A15" s="224" t="s">
        <v>429</v>
      </c>
      <c r="B15" s="226">
        <v>2.9861111111111113E-2</v>
      </c>
      <c r="C15" s="226">
        <v>1.8900462962962963E-2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4.9004629629629627E-2</v>
      </c>
    </row>
    <row r="16" spans="1:9">
      <c r="A16" s="224" t="s">
        <v>430</v>
      </c>
      <c r="B16" s="226">
        <v>2.6122685185185186E-2</v>
      </c>
      <c r="C16" s="226">
        <v>2.0706018518518519E-2</v>
      </c>
      <c r="D16" s="226">
        <v>0</v>
      </c>
      <c r="E16" s="226">
        <v>0</v>
      </c>
      <c r="F16" s="226">
        <v>0</v>
      </c>
      <c r="G16" s="226">
        <v>6.053240740740741E-3</v>
      </c>
      <c r="H16" s="226">
        <v>0</v>
      </c>
      <c r="I16" s="226">
        <v>5.3460648148148146E-2</v>
      </c>
    </row>
    <row r="17" spans="1:9">
      <c r="A17" s="224" t="s">
        <v>431</v>
      </c>
      <c r="B17" s="226">
        <v>2.9236111111111112E-2</v>
      </c>
      <c r="C17" s="226">
        <v>1.1064814814814816E-2</v>
      </c>
      <c r="D17" s="226">
        <v>5.9386574074074071E-2</v>
      </c>
      <c r="E17" s="226">
        <v>0</v>
      </c>
      <c r="F17" s="226">
        <v>0</v>
      </c>
      <c r="G17" s="226">
        <v>0</v>
      </c>
      <c r="H17" s="226">
        <v>0</v>
      </c>
      <c r="I17" s="226">
        <v>0.10023148148148148</v>
      </c>
    </row>
    <row r="18" spans="1:9">
      <c r="A18" s="224" t="s">
        <v>432</v>
      </c>
      <c r="B18" s="226">
        <v>2.7199074074074073E-2</v>
      </c>
      <c r="C18" s="226">
        <v>9.0624999999999994E-3</v>
      </c>
      <c r="D18" s="226">
        <v>0</v>
      </c>
      <c r="E18" s="226">
        <v>0</v>
      </c>
      <c r="F18" s="226">
        <v>0</v>
      </c>
      <c r="G18" s="226">
        <v>0</v>
      </c>
      <c r="H18" s="226">
        <v>0</v>
      </c>
      <c r="I18" s="226">
        <v>3.9224537037037037E-2</v>
      </c>
    </row>
    <row r="19" spans="1:9">
      <c r="A19" s="224" t="s">
        <v>433</v>
      </c>
      <c r="B19" s="226">
        <v>2.7743055555555556E-2</v>
      </c>
      <c r="C19" s="226">
        <v>2.0810185185185185E-2</v>
      </c>
      <c r="D19" s="226">
        <v>0</v>
      </c>
      <c r="E19" s="226">
        <v>0</v>
      </c>
      <c r="F19" s="226">
        <v>0</v>
      </c>
      <c r="G19" s="226">
        <v>0</v>
      </c>
      <c r="H19" s="226">
        <v>0</v>
      </c>
      <c r="I19" s="226">
        <v>4.8692129629629627E-2</v>
      </c>
    </row>
    <row r="20" spans="1:9">
      <c r="A20" s="224" t="s">
        <v>434</v>
      </c>
      <c r="B20" s="226">
        <v>2.7210648148148147E-2</v>
      </c>
      <c r="C20" s="226">
        <v>1.8993055555555555E-2</v>
      </c>
      <c r="D20" s="226">
        <v>0</v>
      </c>
      <c r="E20" s="226">
        <v>4.1643518518518517E-2</v>
      </c>
      <c r="F20" s="226">
        <v>2.1608796296296296E-2</v>
      </c>
      <c r="G20" s="226">
        <v>0</v>
      </c>
      <c r="H20" s="226">
        <v>0</v>
      </c>
      <c r="I20" s="226">
        <v>0.11122685185185185</v>
      </c>
    </row>
    <row r="21" spans="1:9">
      <c r="A21" s="224" t="s">
        <v>435</v>
      </c>
      <c r="B21" s="226">
        <v>2.8009259259259258E-2</v>
      </c>
      <c r="C21" s="226">
        <v>2.1284722222222222E-2</v>
      </c>
      <c r="D21" s="226">
        <v>0</v>
      </c>
      <c r="E21" s="226">
        <v>0</v>
      </c>
      <c r="F21" s="226">
        <v>0</v>
      </c>
      <c r="G21" s="226">
        <v>1.0416666666666667E-3</v>
      </c>
      <c r="H21" s="226">
        <v>0</v>
      </c>
      <c r="I21" s="226">
        <v>5.1736111111111108E-2</v>
      </c>
    </row>
    <row r="22" spans="1:9">
      <c r="A22" s="224" t="s">
        <v>436</v>
      </c>
      <c r="B22" s="226">
        <v>2.7418981481481482E-2</v>
      </c>
      <c r="C22" s="226">
        <v>1.8784722222222223E-2</v>
      </c>
      <c r="D22" s="226">
        <v>0</v>
      </c>
      <c r="E22" s="226">
        <v>0</v>
      </c>
      <c r="F22" s="226">
        <v>0</v>
      </c>
      <c r="G22" s="226">
        <v>0</v>
      </c>
      <c r="H22" s="226">
        <v>0</v>
      </c>
      <c r="I22" s="226">
        <v>4.6516203703703705E-2</v>
      </c>
    </row>
    <row r="23" spans="1:9">
      <c r="A23" s="224" t="s">
        <v>437</v>
      </c>
      <c r="B23" s="226">
        <v>2.7511574074074074E-2</v>
      </c>
      <c r="C23" s="226">
        <v>2.0185185185185184E-2</v>
      </c>
      <c r="D23" s="226">
        <v>0</v>
      </c>
      <c r="E23" s="226">
        <v>0</v>
      </c>
      <c r="F23" s="226">
        <v>0</v>
      </c>
      <c r="G23" s="226">
        <v>0</v>
      </c>
      <c r="H23" s="226">
        <v>0</v>
      </c>
      <c r="I23" s="226">
        <v>4.8460648148148149E-2</v>
      </c>
    </row>
    <row r="24" spans="1:9">
      <c r="A24" s="224" t="s">
        <v>438</v>
      </c>
      <c r="B24" s="226">
        <v>2.7777777777777776E-2</v>
      </c>
      <c r="C24" s="226">
        <v>2.0868055555555556E-2</v>
      </c>
      <c r="D24" s="226">
        <v>4.1157407407407406E-2</v>
      </c>
      <c r="E24" s="226">
        <v>0</v>
      </c>
      <c r="F24" s="226">
        <v>0</v>
      </c>
      <c r="G24" s="226">
        <v>0</v>
      </c>
      <c r="H24" s="226">
        <v>0</v>
      </c>
      <c r="I24" s="226">
        <v>9.0486111111111114E-2</v>
      </c>
    </row>
    <row r="25" spans="1:9">
      <c r="A25" s="224" t="s">
        <v>439</v>
      </c>
      <c r="B25" s="226">
        <v>2.7662037037037037E-2</v>
      </c>
      <c r="C25" s="226">
        <v>2.0937500000000001E-2</v>
      </c>
      <c r="D25" s="226">
        <v>0</v>
      </c>
      <c r="E25" s="226">
        <v>4.2418981481481481E-2</v>
      </c>
      <c r="F25" s="226">
        <v>0</v>
      </c>
      <c r="G25" s="226">
        <v>0</v>
      </c>
      <c r="H25" s="226">
        <v>0</v>
      </c>
      <c r="I25" s="226">
        <v>9.1168981481481476E-2</v>
      </c>
    </row>
    <row r="26" spans="1:9">
      <c r="A26" s="224" t="s">
        <v>440</v>
      </c>
      <c r="B26" s="226">
        <v>2.7407407407407408E-2</v>
      </c>
      <c r="C26" s="226">
        <v>1.8310185185185186E-2</v>
      </c>
      <c r="D26" s="226">
        <v>0</v>
      </c>
      <c r="E26" s="226">
        <v>0</v>
      </c>
      <c r="F26" s="226">
        <v>0</v>
      </c>
      <c r="G26" s="226">
        <v>0</v>
      </c>
      <c r="H26" s="226">
        <v>0</v>
      </c>
      <c r="I26" s="226">
        <v>5.0625000000000003E-2</v>
      </c>
    </row>
    <row r="27" spans="1:9">
      <c r="A27" s="224" t="s">
        <v>441</v>
      </c>
      <c r="B27" s="226">
        <v>0</v>
      </c>
      <c r="C27" s="226">
        <v>2.0011574074074074E-2</v>
      </c>
      <c r="D27" s="226">
        <v>0</v>
      </c>
      <c r="E27" s="226">
        <v>0</v>
      </c>
      <c r="F27" s="226">
        <v>0</v>
      </c>
      <c r="G27" s="226">
        <v>0</v>
      </c>
      <c r="H27" s="226">
        <v>0</v>
      </c>
      <c r="I27" s="226">
        <v>2.1180555555555557E-2</v>
      </c>
    </row>
    <row r="28" spans="1:9">
      <c r="A28" s="224" t="s">
        <v>442</v>
      </c>
      <c r="B28" s="226">
        <v>2.7708333333333335E-2</v>
      </c>
      <c r="C28" s="226">
        <v>2.0798611111111111E-2</v>
      </c>
      <c r="D28" s="226">
        <v>0</v>
      </c>
      <c r="E28" s="226">
        <v>0</v>
      </c>
      <c r="F28" s="226">
        <v>0</v>
      </c>
      <c r="G28" s="226">
        <v>0</v>
      </c>
      <c r="H28" s="226">
        <v>0</v>
      </c>
      <c r="I28" s="226">
        <v>4.9768518518518517E-2</v>
      </c>
    </row>
    <row r="29" spans="1:9">
      <c r="A29" s="224" t="s">
        <v>443</v>
      </c>
      <c r="B29" s="226">
        <v>2.7893518518518519E-2</v>
      </c>
      <c r="C29" s="226">
        <v>2.0474537037037038E-2</v>
      </c>
      <c r="D29" s="226">
        <v>0</v>
      </c>
      <c r="E29" s="226">
        <v>0</v>
      </c>
      <c r="F29" s="226">
        <v>0</v>
      </c>
      <c r="G29" s="226">
        <v>0</v>
      </c>
      <c r="H29" s="226">
        <v>0</v>
      </c>
      <c r="I29" s="226">
        <v>4.8645833333333333E-2</v>
      </c>
    </row>
    <row r="30" spans="1:9">
      <c r="A30" s="224" t="s">
        <v>444</v>
      </c>
      <c r="B30" s="226">
        <v>2.8425925925925927E-2</v>
      </c>
      <c r="C30" s="226">
        <v>2.1874999999999999E-2</v>
      </c>
      <c r="D30" s="226">
        <v>0</v>
      </c>
      <c r="E30" s="226">
        <v>4.1655092592592591E-2</v>
      </c>
      <c r="F30" s="226">
        <v>2.2210648148148149E-2</v>
      </c>
      <c r="G30" s="226">
        <v>0</v>
      </c>
      <c r="H30" s="226">
        <v>0</v>
      </c>
      <c r="I30" s="226">
        <v>0.11449074074074074</v>
      </c>
    </row>
    <row r="31" spans="1:9">
      <c r="A31" s="224" t="s">
        <v>445</v>
      </c>
      <c r="B31" s="226">
        <v>0</v>
      </c>
      <c r="C31" s="226">
        <v>2.0833333333333332E-2</v>
      </c>
      <c r="D31" s="226">
        <v>0</v>
      </c>
      <c r="E31" s="226">
        <v>0</v>
      </c>
      <c r="F31" s="226">
        <v>1.7997685185185186E-2</v>
      </c>
      <c r="G31" s="226">
        <v>5.8912037037037041E-3</v>
      </c>
      <c r="H31" s="226">
        <v>0</v>
      </c>
      <c r="I31" s="226">
        <v>5.5787037037037038E-2</v>
      </c>
    </row>
    <row r="32" spans="1:9">
      <c r="A32" s="224" t="s">
        <v>446</v>
      </c>
      <c r="B32" s="226">
        <v>2.7662037037037037E-2</v>
      </c>
      <c r="C32" s="226">
        <v>2.0324074074074074E-2</v>
      </c>
      <c r="D32" s="226">
        <v>0</v>
      </c>
      <c r="E32" s="226">
        <v>0</v>
      </c>
      <c r="F32" s="226">
        <v>0</v>
      </c>
      <c r="G32" s="226">
        <v>0</v>
      </c>
      <c r="H32" s="226">
        <v>0</v>
      </c>
      <c r="I32" s="226">
        <v>4.809027777777778E-2</v>
      </c>
    </row>
    <row r="33" spans="1:9">
      <c r="A33" s="224" t="s">
        <v>447</v>
      </c>
      <c r="B33" s="226">
        <v>2.7303240740740739E-2</v>
      </c>
      <c r="C33" s="226">
        <v>1.9710648148148147E-2</v>
      </c>
      <c r="D33" s="226">
        <v>0</v>
      </c>
      <c r="E33" s="226">
        <v>4.2442129629629628E-2</v>
      </c>
      <c r="F33" s="226">
        <v>0</v>
      </c>
      <c r="G33" s="226">
        <v>0</v>
      </c>
      <c r="H33" s="226">
        <v>0</v>
      </c>
      <c r="I33" s="226">
        <v>8.9745370370370364E-2</v>
      </c>
    </row>
    <row r="34" spans="1:9">
      <c r="A34" s="224" t="s">
        <v>448</v>
      </c>
      <c r="B34" s="226">
        <v>2.9236111111111112E-2</v>
      </c>
      <c r="C34" s="226">
        <v>1.8530092592592591E-2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4.7951388888888891E-2</v>
      </c>
    </row>
    <row r="35" spans="1:9">
      <c r="A35" s="224" t="s">
        <v>449</v>
      </c>
      <c r="B35" s="226">
        <v>2.71875E-2</v>
      </c>
      <c r="C35" s="226">
        <v>2.0196759259259258E-2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4.8564814814814818E-2</v>
      </c>
    </row>
    <row r="36" spans="1:9">
      <c r="A36" s="224" t="s">
        <v>450</v>
      </c>
      <c r="B36" s="226">
        <v>0</v>
      </c>
      <c r="C36" s="226">
        <v>1.7546296296296296E-2</v>
      </c>
      <c r="D36" s="226">
        <v>4.1608796296296297E-2</v>
      </c>
      <c r="E36" s="226">
        <v>0</v>
      </c>
      <c r="F36" s="226">
        <v>0</v>
      </c>
      <c r="G36" s="226">
        <v>0</v>
      </c>
      <c r="H36" s="226">
        <v>0</v>
      </c>
      <c r="I36" s="226">
        <v>6.1215277777777778E-2</v>
      </c>
    </row>
    <row r="37" spans="1:9">
      <c r="A37" s="224" t="s">
        <v>451</v>
      </c>
      <c r="B37" s="226">
        <v>2.7430555555555555E-2</v>
      </c>
      <c r="C37" s="226">
        <v>2.0312500000000001E-2</v>
      </c>
      <c r="D37" s="226">
        <v>0</v>
      </c>
      <c r="E37" s="226">
        <v>4.0081018518518516E-2</v>
      </c>
      <c r="F37" s="226">
        <v>1.9664351851851853E-2</v>
      </c>
      <c r="G37" s="226">
        <v>0</v>
      </c>
      <c r="H37" s="226">
        <v>0</v>
      </c>
      <c r="I37" s="226">
        <v>0.10777777777777778</v>
      </c>
    </row>
    <row r="38" spans="1:9">
      <c r="A38" s="224" t="s">
        <v>452</v>
      </c>
      <c r="B38" s="226">
        <v>2.763888888888889E-2</v>
      </c>
      <c r="C38" s="226">
        <v>2.0555555555555556E-2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4.8333333333333332E-2</v>
      </c>
    </row>
    <row r="39" spans="1:9">
      <c r="A39" s="224" t="s">
        <v>453</v>
      </c>
      <c r="B39" s="226">
        <v>2.7731481481481482E-2</v>
      </c>
      <c r="C39" s="226">
        <v>2.0706018518518519E-2</v>
      </c>
      <c r="D39" s="226">
        <v>0</v>
      </c>
      <c r="E39" s="226">
        <v>0</v>
      </c>
      <c r="F39" s="226">
        <v>0</v>
      </c>
      <c r="G39" s="226">
        <v>0</v>
      </c>
      <c r="H39" s="226">
        <v>0</v>
      </c>
      <c r="I39" s="226">
        <v>4.912037037037037E-2</v>
      </c>
    </row>
    <row r="40" spans="1:9">
      <c r="A40" s="224" t="s">
        <v>454</v>
      </c>
      <c r="B40" s="226">
        <v>2.7604166666666666E-2</v>
      </c>
      <c r="C40" s="226">
        <v>2.0682870370370369E-2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4.8923611111111112E-2</v>
      </c>
    </row>
    <row r="41" spans="1:9">
      <c r="A41" s="224" t="s">
        <v>455</v>
      </c>
      <c r="B41" s="226">
        <v>2.9120370370370369E-2</v>
      </c>
      <c r="C41" s="226">
        <v>1.9537037037037037E-2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4.8750000000000002E-2</v>
      </c>
    </row>
    <row r="42" spans="1:9">
      <c r="A42" s="224" t="s">
        <v>456</v>
      </c>
      <c r="B42" s="226">
        <v>2.6435185185185187E-2</v>
      </c>
      <c r="C42" s="226">
        <v>1.982638888888889E-2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4.6990740740740743E-2</v>
      </c>
    </row>
    <row r="43" spans="1:9">
      <c r="A43" s="224" t="s">
        <v>457</v>
      </c>
      <c r="B43" s="226">
        <v>2.2905092592592591E-2</v>
      </c>
      <c r="C43" s="226">
        <v>2.2800925925925926E-2</v>
      </c>
      <c r="D43" s="226">
        <v>0</v>
      </c>
      <c r="E43" s="226">
        <v>0</v>
      </c>
      <c r="F43" s="226">
        <v>5.4143518518518521E-2</v>
      </c>
      <c r="G43" s="226">
        <v>0</v>
      </c>
      <c r="H43" s="226">
        <v>0</v>
      </c>
      <c r="I43" s="226">
        <v>0.10062500000000001</v>
      </c>
    </row>
    <row r="44" spans="1:9">
      <c r="A44" s="224" t="s">
        <v>458</v>
      </c>
      <c r="B44" s="226">
        <v>0</v>
      </c>
      <c r="C44" s="226">
        <v>1.03125E-2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1.0416666666666666E-2</v>
      </c>
    </row>
    <row r="45" spans="1:9">
      <c r="A45" s="224" t="s">
        <v>459</v>
      </c>
      <c r="B45" s="226">
        <v>2.5138888888888888E-2</v>
      </c>
      <c r="C45" s="226">
        <v>2.0810185185185185E-2</v>
      </c>
      <c r="D45" s="226">
        <v>0</v>
      </c>
      <c r="E45" s="226">
        <v>0</v>
      </c>
      <c r="F45" s="226">
        <v>0</v>
      </c>
      <c r="G45" s="226">
        <v>1.7824074074074075E-3</v>
      </c>
      <c r="H45" s="226">
        <v>0</v>
      </c>
      <c r="I45" s="226">
        <v>4.8437500000000001E-2</v>
      </c>
    </row>
    <row r="46" spans="1:9">
      <c r="A46" s="224" t="s">
        <v>460</v>
      </c>
      <c r="B46" s="226">
        <v>1.5590277777777778E-2</v>
      </c>
      <c r="C46" s="226">
        <v>2.2638888888888889E-2</v>
      </c>
      <c r="D46" s="226">
        <v>0</v>
      </c>
      <c r="E46" s="226">
        <v>0</v>
      </c>
      <c r="F46" s="226">
        <v>0</v>
      </c>
      <c r="G46" s="226">
        <v>0</v>
      </c>
      <c r="H46" s="226">
        <v>0</v>
      </c>
      <c r="I46" s="226">
        <v>3.9108796296296294E-2</v>
      </c>
    </row>
    <row r="47" spans="1:9">
      <c r="A47" s="224" t="s">
        <v>461</v>
      </c>
      <c r="B47" s="226">
        <v>2.7685185185185184E-2</v>
      </c>
      <c r="C47" s="226">
        <v>2.0752314814814814E-2</v>
      </c>
      <c r="D47" s="226">
        <v>4.1793981481481481E-2</v>
      </c>
      <c r="E47" s="226">
        <v>0</v>
      </c>
      <c r="F47" s="226">
        <v>0</v>
      </c>
      <c r="G47" s="226">
        <v>0</v>
      </c>
      <c r="H47" s="226">
        <v>0</v>
      </c>
      <c r="I47" s="226">
        <v>9.0555555555555556E-2</v>
      </c>
    </row>
    <row r="48" spans="1:9">
      <c r="A48" s="224" t="s">
        <v>462</v>
      </c>
      <c r="B48" s="226">
        <v>2.7303240740740739E-2</v>
      </c>
      <c r="C48" s="226">
        <v>2.0752314814814814E-2</v>
      </c>
      <c r="D48" s="226">
        <v>0</v>
      </c>
      <c r="E48" s="226">
        <v>0</v>
      </c>
      <c r="F48" s="226">
        <v>0</v>
      </c>
      <c r="G48" s="226">
        <v>0</v>
      </c>
      <c r="H48" s="226">
        <v>0</v>
      </c>
      <c r="I48" s="226">
        <v>4.8240740740740744E-2</v>
      </c>
    </row>
    <row r="49" spans="1:9">
      <c r="A49" s="224" t="s">
        <v>463</v>
      </c>
      <c r="B49" s="226">
        <v>2.7743055555555556E-2</v>
      </c>
      <c r="C49" s="226">
        <v>2.0590277777777777E-2</v>
      </c>
      <c r="D49" s="226">
        <v>0</v>
      </c>
      <c r="E49" s="226">
        <v>0</v>
      </c>
      <c r="F49" s="226">
        <v>0</v>
      </c>
      <c r="G49" s="226">
        <v>0</v>
      </c>
      <c r="H49" s="226">
        <v>0</v>
      </c>
      <c r="I49" s="226">
        <v>4.8437500000000001E-2</v>
      </c>
    </row>
    <row r="50" spans="1:9">
      <c r="A50" s="224" t="s">
        <v>464</v>
      </c>
      <c r="B50" s="226">
        <v>2.7777777777777776E-2</v>
      </c>
      <c r="C50" s="226">
        <v>2.0844907407407406E-2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4.8738425925925928E-2</v>
      </c>
    </row>
    <row r="51" spans="1:9">
      <c r="A51" s="224" t="s">
        <v>465</v>
      </c>
      <c r="B51" s="226">
        <v>0</v>
      </c>
      <c r="C51" s="226">
        <v>1.0555555555555556E-2</v>
      </c>
      <c r="D51" s="226">
        <v>0</v>
      </c>
      <c r="E51" s="226">
        <v>0</v>
      </c>
      <c r="F51" s="226">
        <v>0</v>
      </c>
      <c r="G51" s="226">
        <v>1.8634259259259259E-3</v>
      </c>
      <c r="H51" s="226">
        <v>0</v>
      </c>
      <c r="I51" s="226">
        <v>1.2615740740740742E-2</v>
      </c>
    </row>
    <row r="52" spans="1:9">
      <c r="A52" s="224" t="s">
        <v>466</v>
      </c>
      <c r="B52" s="226">
        <v>1.4490740740740742E-2</v>
      </c>
      <c r="C52" s="226">
        <v>2.087962962962963E-2</v>
      </c>
      <c r="D52" s="226">
        <v>0</v>
      </c>
      <c r="E52" s="226">
        <v>0</v>
      </c>
      <c r="F52" s="226">
        <v>0</v>
      </c>
      <c r="G52" s="226">
        <v>1.6284722222222221E-2</v>
      </c>
      <c r="H52" s="226">
        <v>0</v>
      </c>
      <c r="I52" s="226">
        <v>5.1898148148148152E-2</v>
      </c>
    </row>
    <row r="53" spans="1:9">
      <c r="A53" s="224" t="s">
        <v>467</v>
      </c>
      <c r="B53" s="226">
        <v>2.7766203703703703E-2</v>
      </c>
      <c r="C53" s="226">
        <v>2.0798611111111111E-2</v>
      </c>
      <c r="D53" s="226">
        <v>0</v>
      </c>
      <c r="E53" s="226">
        <v>0</v>
      </c>
      <c r="F53" s="226">
        <v>0</v>
      </c>
      <c r="G53" s="226">
        <v>0</v>
      </c>
      <c r="H53" s="226">
        <v>0</v>
      </c>
      <c r="I53" s="226">
        <v>4.8657407407407406E-2</v>
      </c>
    </row>
    <row r="54" spans="1:9">
      <c r="A54" s="224" t="s">
        <v>468</v>
      </c>
      <c r="B54" s="226">
        <v>2.7754629629629629E-2</v>
      </c>
      <c r="C54" s="226">
        <v>2.0810185185185185E-2</v>
      </c>
      <c r="D54" s="226">
        <v>0</v>
      </c>
      <c r="E54" s="226">
        <v>0</v>
      </c>
      <c r="F54" s="226">
        <v>0</v>
      </c>
      <c r="G54" s="226">
        <v>0</v>
      </c>
      <c r="H54" s="226">
        <v>0</v>
      </c>
      <c r="I54" s="226">
        <v>4.8715277777777781E-2</v>
      </c>
    </row>
    <row r="55" spans="1:9">
      <c r="A55" s="224" t="s">
        <v>469</v>
      </c>
      <c r="B55" s="226">
        <v>3.0902777777777779E-2</v>
      </c>
      <c r="C55" s="226">
        <v>1.7511574074074075E-2</v>
      </c>
      <c r="D55" s="226">
        <v>0</v>
      </c>
      <c r="E55" s="226">
        <v>0</v>
      </c>
      <c r="F55" s="226">
        <v>0</v>
      </c>
      <c r="G55" s="226">
        <v>0</v>
      </c>
      <c r="H55" s="226">
        <v>0</v>
      </c>
      <c r="I55" s="226">
        <v>4.9062500000000002E-2</v>
      </c>
    </row>
    <row r="56" spans="1:9">
      <c r="A56" s="224" t="s">
        <v>470</v>
      </c>
      <c r="B56" s="226">
        <v>2.7569444444444445E-2</v>
      </c>
      <c r="C56" s="226">
        <v>2.0902777777777777E-2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4.9143518518518517E-2</v>
      </c>
    </row>
    <row r="57" spans="1:9">
      <c r="A57" s="224" t="s">
        <v>471</v>
      </c>
      <c r="B57" s="226">
        <v>2.7708333333333335E-2</v>
      </c>
      <c r="C57" s="226">
        <v>2.0752314814814814E-2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4.853009259259259E-2</v>
      </c>
    </row>
    <row r="58" spans="1:9">
      <c r="A58" s="224" t="s">
        <v>472</v>
      </c>
      <c r="B58" s="226">
        <v>2.7731481481481482E-2</v>
      </c>
      <c r="C58" s="226">
        <v>2.0752314814814814E-2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5.2766203703703704E-2</v>
      </c>
    </row>
    <row r="59" spans="1:9">
      <c r="A59" s="224" t="s">
        <v>473</v>
      </c>
      <c r="B59" s="226">
        <v>2.7719907407407408E-2</v>
      </c>
      <c r="C59" s="226">
        <v>2.0671296296296295E-2</v>
      </c>
      <c r="D59" s="226">
        <v>0</v>
      </c>
      <c r="E59" s="226">
        <v>0</v>
      </c>
      <c r="F59" s="226">
        <v>0</v>
      </c>
      <c r="G59" s="226">
        <v>0</v>
      </c>
      <c r="H59" s="226">
        <v>0</v>
      </c>
      <c r="I59" s="226">
        <v>4.9756944444444444E-2</v>
      </c>
    </row>
    <row r="60" spans="1:9">
      <c r="A60" s="224" t="s">
        <v>474</v>
      </c>
      <c r="B60" s="226">
        <v>2.8622685185185185E-2</v>
      </c>
      <c r="C60" s="226">
        <v>2.0844907407407406E-2</v>
      </c>
      <c r="D60" s="226">
        <v>0</v>
      </c>
      <c r="E60" s="226">
        <v>4.6226851851851852E-2</v>
      </c>
      <c r="F60" s="226">
        <v>5.3229166666666668E-2</v>
      </c>
      <c r="G60" s="226">
        <v>0</v>
      </c>
      <c r="H60" s="226">
        <v>0</v>
      </c>
      <c r="I60" s="226">
        <v>0.14913194444444444</v>
      </c>
    </row>
    <row r="61" spans="1:9">
      <c r="A61" s="224" t="s">
        <v>475</v>
      </c>
      <c r="B61" s="226">
        <v>2.7743055555555556E-2</v>
      </c>
      <c r="C61" s="226">
        <v>2.0509259259259258E-2</v>
      </c>
      <c r="D61" s="226">
        <v>0</v>
      </c>
      <c r="E61" s="226">
        <v>3.8090277777777778E-2</v>
      </c>
      <c r="F61" s="226">
        <v>0</v>
      </c>
      <c r="G61" s="226">
        <v>5.4282407407407404E-3</v>
      </c>
      <c r="H61" s="226">
        <v>0</v>
      </c>
      <c r="I61" s="226">
        <v>9.194444444444444E-2</v>
      </c>
    </row>
    <row r="62" spans="1:9">
      <c r="A62" s="224" t="s">
        <v>476</v>
      </c>
      <c r="B62" s="226">
        <v>0</v>
      </c>
      <c r="C62" s="226">
        <v>1.0277777777777778E-2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1.0821759259259258E-2</v>
      </c>
    </row>
    <row r="63" spans="1:9">
      <c r="A63" s="224" t="s">
        <v>477</v>
      </c>
      <c r="B63" s="226">
        <v>2.7777777777777776E-2</v>
      </c>
      <c r="C63" s="226">
        <v>2.0821759259259259E-2</v>
      </c>
      <c r="D63" s="226">
        <v>4.372685185185185E-2</v>
      </c>
      <c r="E63" s="226">
        <v>0</v>
      </c>
      <c r="F63" s="226">
        <v>0</v>
      </c>
      <c r="G63" s="226">
        <v>0</v>
      </c>
      <c r="H63" s="226">
        <v>0</v>
      </c>
      <c r="I63" s="226">
        <v>9.2442129629629624E-2</v>
      </c>
    </row>
    <row r="64" spans="1:9">
      <c r="A64" s="224" t="s">
        <v>478</v>
      </c>
      <c r="B64" s="226">
        <v>2.7662037037037037E-2</v>
      </c>
      <c r="C64" s="226">
        <v>2.0902777777777777E-2</v>
      </c>
      <c r="D64" s="226">
        <v>0</v>
      </c>
      <c r="E64" s="226">
        <v>3.9861111111111111E-2</v>
      </c>
      <c r="F64" s="226">
        <v>2.1041666666666667E-2</v>
      </c>
      <c r="G64" s="226">
        <v>0</v>
      </c>
      <c r="H64" s="226">
        <v>0</v>
      </c>
      <c r="I64" s="226">
        <v>0.11005787037037038</v>
      </c>
    </row>
    <row r="65" spans="1:9">
      <c r="A65" s="224" t="s">
        <v>479</v>
      </c>
      <c r="B65" s="226">
        <v>1.5428240740740741E-2</v>
      </c>
      <c r="C65" s="226">
        <v>2.0787037037037038E-2</v>
      </c>
      <c r="D65" s="226">
        <v>0</v>
      </c>
      <c r="E65" s="226">
        <v>4.148148148148148E-2</v>
      </c>
      <c r="F65" s="226">
        <v>2.0891203703703703E-2</v>
      </c>
      <c r="G65" s="226">
        <v>0</v>
      </c>
      <c r="H65" s="226">
        <v>0</v>
      </c>
      <c r="I65" s="226">
        <v>0.10043981481481482</v>
      </c>
    </row>
    <row r="66" spans="1:9">
      <c r="A66" s="224" t="s">
        <v>480</v>
      </c>
      <c r="B66" s="226">
        <v>0</v>
      </c>
      <c r="C66" s="226">
        <v>1.0324074074074074E-2</v>
      </c>
      <c r="D66" s="226">
        <v>0</v>
      </c>
      <c r="E66" s="226">
        <v>0</v>
      </c>
      <c r="F66" s="226">
        <v>0</v>
      </c>
      <c r="G66" s="226">
        <v>1.0081018518518519E-2</v>
      </c>
      <c r="H66" s="226">
        <v>0</v>
      </c>
      <c r="I66" s="226">
        <v>2.0532407407407409E-2</v>
      </c>
    </row>
    <row r="67" spans="1:9">
      <c r="A67" s="224" t="s">
        <v>481</v>
      </c>
      <c r="B67" s="226">
        <v>2.763888888888889E-2</v>
      </c>
      <c r="C67" s="226">
        <v>1.4699074074074074E-2</v>
      </c>
      <c r="D67" s="226">
        <v>0</v>
      </c>
      <c r="E67" s="226">
        <v>0</v>
      </c>
      <c r="F67" s="226">
        <v>0</v>
      </c>
      <c r="G67" s="226">
        <v>0</v>
      </c>
      <c r="H67" s="226">
        <v>0</v>
      </c>
      <c r="I67" s="226">
        <v>5.1423611111111114E-2</v>
      </c>
    </row>
    <row r="68" spans="1:9">
      <c r="A68" s="224" t="s">
        <v>482</v>
      </c>
      <c r="B68" s="226">
        <v>2.9155092592592594E-2</v>
      </c>
      <c r="C68" s="226">
        <v>1.7349537037037038E-2</v>
      </c>
      <c r="D68" s="226">
        <v>0</v>
      </c>
      <c r="E68" s="226">
        <v>0</v>
      </c>
      <c r="F68" s="226">
        <v>0</v>
      </c>
      <c r="G68" s="226">
        <v>0</v>
      </c>
      <c r="H68" s="226">
        <v>0</v>
      </c>
      <c r="I68" s="226">
        <v>4.7534722222222221E-2</v>
      </c>
    </row>
    <row r="69" spans="1:9">
      <c r="A69" s="224" t="s">
        <v>483</v>
      </c>
      <c r="B69" s="226">
        <v>2.7650462962962963E-2</v>
      </c>
      <c r="C69" s="226">
        <v>1.9976851851851853E-2</v>
      </c>
      <c r="D69" s="226">
        <v>4.5740740740740742E-2</v>
      </c>
      <c r="E69" s="226">
        <v>0</v>
      </c>
      <c r="F69" s="226">
        <v>0</v>
      </c>
      <c r="G69" s="226">
        <v>0</v>
      </c>
      <c r="H69" s="226">
        <v>0</v>
      </c>
      <c r="I69" s="226">
        <v>9.3958333333333338E-2</v>
      </c>
    </row>
    <row r="70" spans="1:9">
      <c r="A70" s="224" t="s">
        <v>484</v>
      </c>
      <c r="B70" s="226">
        <v>2.7766203703703703E-2</v>
      </c>
      <c r="C70" s="226">
        <v>2.0775462962962964E-2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4.8645833333333333E-2</v>
      </c>
    </row>
    <row r="71" spans="1:9">
      <c r="A71" s="224" t="s">
        <v>485</v>
      </c>
      <c r="B71" s="226">
        <v>2.7824074074074074E-2</v>
      </c>
      <c r="C71" s="226">
        <v>2.0613425925925927E-2</v>
      </c>
      <c r="D71" s="226">
        <v>0</v>
      </c>
      <c r="E71" s="226">
        <v>0</v>
      </c>
      <c r="F71" s="226">
        <v>1.9108796296296297E-2</v>
      </c>
      <c r="G71" s="226">
        <v>0</v>
      </c>
      <c r="H71" s="226">
        <v>0</v>
      </c>
      <c r="I71" s="226">
        <v>6.7650462962962968E-2</v>
      </c>
    </row>
    <row r="72" spans="1:9">
      <c r="A72" s="224" t="s">
        <v>486</v>
      </c>
      <c r="B72" s="226">
        <v>2.7708333333333335E-2</v>
      </c>
      <c r="C72" s="226">
        <v>2.0717592592592593E-2</v>
      </c>
      <c r="D72" s="226">
        <v>0</v>
      </c>
      <c r="E72" s="226">
        <v>0</v>
      </c>
      <c r="F72" s="226">
        <v>0</v>
      </c>
      <c r="G72" s="226">
        <v>0</v>
      </c>
      <c r="H72" s="226">
        <v>0</v>
      </c>
      <c r="I72" s="226">
        <v>4.853009259259259E-2</v>
      </c>
    </row>
    <row r="73" spans="1:9">
      <c r="A73" s="224" t="s">
        <v>487</v>
      </c>
      <c r="B73" s="226">
        <v>2.763888888888889E-2</v>
      </c>
      <c r="C73" s="226">
        <v>2.0763888888888887E-2</v>
      </c>
      <c r="D73" s="226">
        <v>0</v>
      </c>
      <c r="E73" s="226">
        <v>0</v>
      </c>
      <c r="F73" s="226">
        <v>1.7858796296296296E-2</v>
      </c>
      <c r="G73" s="226">
        <v>0</v>
      </c>
      <c r="H73" s="226">
        <v>0</v>
      </c>
      <c r="I73" s="226">
        <v>6.6701388888888893E-2</v>
      </c>
    </row>
    <row r="74" spans="1:9">
      <c r="A74" s="224" t="s">
        <v>488</v>
      </c>
      <c r="B74" s="226">
        <v>2.7430555555555555E-2</v>
      </c>
      <c r="C74" s="226">
        <v>2.0046296296296295E-2</v>
      </c>
      <c r="D74" s="226">
        <v>4.2488425925925923E-2</v>
      </c>
      <c r="E74" s="226">
        <v>0</v>
      </c>
      <c r="F74" s="226">
        <v>0</v>
      </c>
      <c r="G74" s="226">
        <v>0</v>
      </c>
      <c r="H74" s="226">
        <v>0</v>
      </c>
      <c r="I74" s="226">
        <v>9.1597222222222219E-2</v>
      </c>
    </row>
    <row r="75" spans="1:9">
      <c r="A75" s="224" t="s">
        <v>489</v>
      </c>
      <c r="B75" s="226">
        <v>2.7731481481481482E-2</v>
      </c>
      <c r="C75" s="226">
        <v>2.0833333333333332E-2</v>
      </c>
      <c r="D75" s="226">
        <v>0</v>
      </c>
      <c r="E75" s="226">
        <v>0</v>
      </c>
      <c r="F75" s="226">
        <v>5.2962962962962962E-2</v>
      </c>
      <c r="G75" s="226">
        <v>0</v>
      </c>
      <c r="H75" s="226">
        <v>0</v>
      </c>
      <c r="I75" s="226">
        <v>0.10168981481481482</v>
      </c>
    </row>
    <row r="76" spans="1:9">
      <c r="A76" s="224" t="s">
        <v>490</v>
      </c>
      <c r="B76" s="226">
        <v>2.7766203703703703E-2</v>
      </c>
      <c r="C76" s="226">
        <v>2.0810185185185185E-2</v>
      </c>
      <c r="D76" s="226">
        <v>0</v>
      </c>
      <c r="E76" s="226">
        <v>0</v>
      </c>
      <c r="F76" s="226">
        <v>0</v>
      </c>
      <c r="G76" s="226">
        <v>0</v>
      </c>
      <c r="H76" s="226">
        <v>3.1458333333333331E-2</v>
      </c>
      <c r="I76" s="226">
        <v>8.0162037037037032E-2</v>
      </c>
    </row>
    <row r="77" spans="1:9">
      <c r="A77" s="224" t="s">
        <v>491</v>
      </c>
      <c r="B77" s="226">
        <v>2.8657407407407406E-2</v>
      </c>
      <c r="C77" s="226">
        <v>2.0300925925925927E-2</v>
      </c>
      <c r="D77" s="226">
        <v>1.8900462962962963E-2</v>
      </c>
      <c r="E77" s="226">
        <v>0</v>
      </c>
      <c r="F77" s="226">
        <v>0</v>
      </c>
      <c r="G77" s="226">
        <v>0</v>
      </c>
      <c r="H77" s="226">
        <v>0</v>
      </c>
      <c r="I77" s="226">
        <v>6.8541666666666667E-2</v>
      </c>
    </row>
    <row r="78" spans="1:9">
      <c r="A78" s="224" t="s">
        <v>492</v>
      </c>
      <c r="B78" s="226">
        <v>2.7118055555555555E-2</v>
      </c>
      <c r="C78" s="226">
        <v>1.0428240740740741E-2</v>
      </c>
      <c r="D78" s="226">
        <v>0</v>
      </c>
      <c r="E78" s="226">
        <v>0</v>
      </c>
      <c r="F78" s="226">
        <v>0.10876157407407408</v>
      </c>
      <c r="G78" s="226">
        <v>0</v>
      </c>
      <c r="H78" s="226">
        <v>2.8229166666666666E-2</v>
      </c>
      <c r="I78" s="226">
        <v>0.17460648148148147</v>
      </c>
    </row>
    <row r="79" spans="1:9">
      <c r="A79" s="224" t="s">
        <v>493</v>
      </c>
      <c r="B79" s="226">
        <v>2.7766203703703703E-2</v>
      </c>
      <c r="C79" s="226">
        <v>1.1157407407407408E-2</v>
      </c>
      <c r="D79" s="226">
        <v>4.583333333333333E-2</v>
      </c>
      <c r="E79" s="226">
        <v>0</v>
      </c>
      <c r="F79" s="226">
        <v>9.6423611111111113E-2</v>
      </c>
      <c r="G79" s="226">
        <v>0</v>
      </c>
      <c r="H79" s="226">
        <v>0</v>
      </c>
      <c r="I79" s="226">
        <v>0.18131944444444445</v>
      </c>
    </row>
    <row r="80" spans="1:9">
      <c r="A80" s="224" t="s">
        <v>494</v>
      </c>
      <c r="B80" s="226">
        <v>2.7662037037037037E-2</v>
      </c>
      <c r="C80" s="226">
        <v>2.1006944444444446E-2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4.8900462962962965E-2</v>
      </c>
    </row>
    <row r="81" spans="1:9">
      <c r="A81" s="224" t="s">
        <v>495</v>
      </c>
      <c r="B81" s="226">
        <v>2.8773148148148148E-2</v>
      </c>
      <c r="C81" s="226">
        <v>1.8749999999999999E-2</v>
      </c>
      <c r="D81" s="226">
        <v>6.1655092592592595E-2</v>
      </c>
      <c r="E81" s="226">
        <v>0</v>
      </c>
      <c r="F81" s="226">
        <v>0</v>
      </c>
      <c r="G81" s="226">
        <v>0</v>
      </c>
      <c r="H81" s="226">
        <v>0</v>
      </c>
      <c r="I81" s="226">
        <v>0.10935185185185185</v>
      </c>
    </row>
    <row r="82" spans="1:9">
      <c r="A82" s="224" t="s">
        <v>496</v>
      </c>
      <c r="B82" s="226">
        <v>2.5578703703703704E-2</v>
      </c>
      <c r="C82" s="226">
        <v>1.0775462962962962E-2</v>
      </c>
      <c r="D82" s="226">
        <v>0</v>
      </c>
      <c r="E82" s="226">
        <v>0</v>
      </c>
      <c r="F82" s="226">
        <v>0.10246527777777778</v>
      </c>
      <c r="G82" s="226">
        <v>0</v>
      </c>
      <c r="H82" s="226">
        <v>0</v>
      </c>
      <c r="I82" s="226">
        <v>0.13890046296296296</v>
      </c>
    </row>
    <row r="83" spans="1:9">
      <c r="A83" s="224" t="s">
        <v>497</v>
      </c>
      <c r="B83" s="226">
        <v>3.0127314814814815E-2</v>
      </c>
      <c r="C83" s="226">
        <v>1.7384259259259259E-2</v>
      </c>
      <c r="D83" s="226">
        <v>0</v>
      </c>
      <c r="E83" s="226">
        <v>0</v>
      </c>
      <c r="F83" s="226">
        <v>0</v>
      </c>
      <c r="G83" s="226">
        <v>0</v>
      </c>
      <c r="H83" s="226">
        <v>0</v>
      </c>
      <c r="I83" s="226">
        <v>4.7592592592592596E-2</v>
      </c>
    </row>
    <row r="84" spans="1:9">
      <c r="A84" s="224" t="s">
        <v>498</v>
      </c>
      <c r="B84" s="226">
        <v>0</v>
      </c>
      <c r="C84" s="226">
        <v>2.0833333333333332E-2</v>
      </c>
      <c r="D84" s="226">
        <v>0</v>
      </c>
      <c r="E84" s="226">
        <v>0</v>
      </c>
      <c r="F84" s="226">
        <v>0</v>
      </c>
      <c r="G84" s="226">
        <v>0</v>
      </c>
      <c r="H84" s="226">
        <v>0</v>
      </c>
      <c r="I84" s="226">
        <v>2.1064814814814814E-2</v>
      </c>
    </row>
    <row r="85" spans="1:9">
      <c r="A85" s="224" t="s">
        <v>499</v>
      </c>
      <c r="B85" s="226">
        <v>2.7245370370370371E-2</v>
      </c>
      <c r="C85" s="226">
        <v>1.9710648148148147E-2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4.7731481481481479E-2</v>
      </c>
    </row>
    <row r="86" spans="1:9">
      <c r="A86" s="224" t="s">
        <v>500</v>
      </c>
      <c r="B86" s="226">
        <v>2.7731481481481482E-2</v>
      </c>
      <c r="C86" s="226">
        <v>1.7407407407407406E-2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4.7500000000000001E-2</v>
      </c>
    </row>
    <row r="87" spans="1:9">
      <c r="A87" s="224" t="s">
        <v>501</v>
      </c>
      <c r="B87" s="226">
        <v>2.7546296296296298E-2</v>
      </c>
      <c r="C87" s="226">
        <v>2.1030092592592593E-2</v>
      </c>
      <c r="D87" s="226">
        <v>0</v>
      </c>
      <c r="E87" s="226">
        <v>0</v>
      </c>
      <c r="F87" s="226">
        <v>0</v>
      </c>
      <c r="G87" s="226">
        <v>0</v>
      </c>
      <c r="H87" s="226">
        <v>1.8541666666666668E-2</v>
      </c>
      <c r="I87" s="226">
        <v>6.7430555555555549E-2</v>
      </c>
    </row>
    <row r="88" spans="1:9">
      <c r="A88" s="224" t="s">
        <v>502</v>
      </c>
      <c r="B88" s="226">
        <v>2.7835648148148148E-2</v>
      </c>
      <c r="C88" s="226">
        <v>2.0717592592592593E-2</v>
      </c>
      <c r="D88" s="226">
        <v>0</v>
      </c>
      <c r="E88" s="226">
        <v>0</v>
      </c>
      <c r="F88" s="226">
        <v>0</v>
      </c>
      <c r="G88" s="226">
        <v>0</v>
      </c>
      <c r="H88" s="226">
        <v>6.1805555555555555E-3</v>
      </c>
      <c r="I88" s="226">
        <v>5.4953703703703706E-2</v>
      </c>
    </row>
    <row r="89" spans="1:9">
      <c r="A89" s="224" t="s">
        <v>503</v>
      </c>
      <c r="B89" s="226">
        <v>2.8506944444444446E-2</v>
      </c>
      <c r="C89" s="226">
        <v>1.2858796296296297E-2</v>
      </c>
      <c r="D89" s="226">
        <v>0</v>
      </c>
      <c r="E89" s="226">
        <v>3.5474537037037034E-2</v>
      </c>
      <c r="F89" s="226">
        <v>0</v>
      </c>
      <c r="G89" s="226">
        <v>0</v>
      </c>
      <c r="H89" s="226">
        <v>2.7800925925925927E-2</v>
      </c>
      <c r="I89" s="226">
        <v>0.10712962962962963</v>
      </c>
    </row>
    <row r="90" spans="1:9">
      <c r="A90" s="224" t="s">
        <v>504</v>
      </c>
      <c r="B90" s="226">
        <v>2.7627314814814816E-2</v>
      </c>
      <c r="C90" s="226">
        <v>1.0532407407407407E-2</v>
      </c>
      <c r="D90" s="226">
        <v>0</v>
      </c>
      <c r="E90" s="226">
        <v>0.13302083333333334</v>
      </c>
      <c r="F90" s="226">
        <v>0.10975694444444445</v>
      </c>
      <c r="G90" s="226">
        <v>0</v>
      </c>
      <c r="H90" s="226">
        <v>1.5486111111111112E-2</v>
      </c>
      <c r="I90" s="226">
        <v>0.29744212962962963</v>
      </c>
    </row>
    <row r="91" spans="1:9">
      <c r="A91" s="224" t="s">
        <v>505</v>
      </c>
      <c r="B91" s="226">
        <v>2.75E-2</v>
      </c>
      <c r="C91" s="226">
        <v>2.0798611111111111E-2</v>
      </c>
      <c r="D91" s="226">
        <v>0</v>
      </c>
      <c r="E91" s="226">
        <v>0</v>
      </c>
      <c r="F91" s="226">
        <v>0</v>
      </c>
      <c r="G91" s="226">
        <v>0</v>
      </c>
      <c r="H91" s="226">
        <v>1.0069444444444444E-3</v>
      </c>
      <c r="I91" s="226">
        <v>5.0046296296296297E-2</v>
      </c>
    </row>
    <row r="92" spans="1:9">
      <c r="A92" s="224" t="s">
        <v>506</v>
      </c>
      <c r="B92" s="226">
        <v>2.7766203703703703E-2</v>
      </c>
      <c r="C92" s="226">
        <v>2.0821759259259259E-2</v>
      </c>
      <c r="D92" s="226">
        <v>0</v>
      </c>
      <c r="E92" s="226">
        <v>3.6342592592592593E-2</v>
      </c>
      <c r="F92" s="226">
        <v>0</v>
      </c>
      <c r="G92" s="226">
        <v>0</v>
      </c>
      <c r="H92" s="226">
        <v>0</v>
      </c>
      <c r="I92" s="226">
        <v>8.790509259259259E-2</v>
      </c>
    </row>
    <row r="93" spans="1:9">
      <c r="A93" s="224" t="s">
        <v>507</v>
      </c>
      <c r="B93" s="226">
        <v>0</v>
      </c>
      <c r="C93" s="226">
        <v>1.0451388888888889E-2</v>
      </c>
      <c r="D93" s="226">
        <v>0</v>
      </c>
      <c r="E93" s="226">
        <v>0</v>
      </c>
      <c r="F93" s="226">
        <v>2.3148148148148147E-5</v>
      </c>
      <c r="G93" s="226">
        <v>5.9259259259259256E-3</v>
      </c>
      <c r="H93" s="226">
        <v>0</v>
      </c>
      <c r="I93" s="226">
        <v>1.6979166666666667E-2</v>
      </c>
    </row>
    <row r="94" spans="1:9">
      <c r="A94" s="224" t="s">
        <v>508</v>
      </c>
      <c r="B94" s="226">
        <v>2.7615740740740739E-2</v>
      </c>
      <c r="C94" s="226">
        <v>2.0532407407407409E-2</v>
      </c>
      <c r="D94" s="226">
        <v>0</v>
      </c>
      <c r="E94" s="226">
        <v>0</v>
      </c>
      <c r="F94" s="226">
        <v>0</v>
      </c>
      <c r="G94" s="226">
        <v>0</v>
      </c>
      <c r="H94" s="226">
        <v>0</v>
      </c>
      <c r="I94" s="226">
        <v>4.8240740740740744E-2</v>
      </c>
    </row>
    <row r="95" spans="1:9">
      <c r="A95" s="224" t="s">
        <v>509</v>
      </c>
      <c r="B95" s="226">
        <v>2.7835648148148148E-2</v>
      </c>
      <c r="C95" s="226">
        <v>1.9074074074074073E-2</v>
      </c>
      <c r="D95" s="226">
        <v>0</v>
      </c>
      <c r="E95" s="226">
        <v>0</v>
      </c>
      <c r="F95" s="226">
        <v>0.10924768518518518</v>
      </c>
      <c r="G95" s="226">
        <v>0</v>
      </c>
      <c r="H95" s="226">
        <v>0.18746527777777777</v>
      </c>
      <c r="I95" s="226">
        <v>0.34385416666666668</v>
      </c>
    </row>
    <row r="96" spans="1:9">
      <c r="A96" s="224" t="s">
        <v>510</v>
      </c>
      <c r="B96" s="226">
        <v>2.7280092592592592E-2</v>
      </c>
      <c r="C96" s="226">
        <v>1.1979166666666667E-2</v>
      </c>
      <c r="D96" s="226">
        <v>0</v>
      </c>
      <c r="E96" s="226">
        <v>0</v>
      </c>
      <c r="F96" s="226">
        <v>0.10954861111111111</v>
      </c>
      <c r="G96" s="226">
        <v>0</v>
      </c>
      <c r="H96" s="226">
        <v>0.12869212962962964</v>
      </c>
      <c r="I96" s="226">
        <v>0.27759259259259261</v>
      </c>
    </row>
    <row r="97" spans="1:9">
      <c r="A97" s="224" t="s">
        <v>511</v>
      </c>
      <c r="B97" s="226">
        <v>2.7465277777777779E-2</v>
      </c>
      <c r="C97" s="226">
        <v>2.0289351851851854E-2</v>
      </c>
      <c r="D97" s="226">
        <v>0</v>
      </c>
      <c r="E97" s="226">
        <v>0</v>
      </c>
      <c r="F97" s="226">
        <v>0</v>
      </c>
      <c r="G97" s="226">
        <v>2.685185185185185E-3</v>
      </c>
      <c r="H97" s="226">
        <v>0</v>
      </c>
      <c r="I97" s="226">
        <v>5.122685185185185E-2</v>
      </c>
    </row>
    <row r="98" spans="1:9">
      <c r="A98" s="224" t="s">
        <v>512</v>
      </c>
      <c r="B98" s="226">
        <v>2.7685185185185184E-2</v>
      </c>
      <c r="C98" s="226">
        <v>1.0567129629629629E-2</v>
      </c>
      <c r="D98" s="226">
        <v>0</v>
      </c>
      <c r="E98" s="226">
        <v>0</v>
      </c>
      <c r="F98" s="226">
        <v>0</v>
      </c>
      <c r="G98" s="226">
        <v>0</v>
      </c>
      <c r="H98" s="226">
        <v>0.20133101851851851</v>
      </c>
      <c r="I98" s="226">
        <v>0.23973379629629629</v>
      </c>
    </row>
    <row r="99" spans="1:9">
      <c r="A99" s="224" t="s">
        <v>513</v>
      </c>
      <c r="B99" s="226">
        <v>2.5833333333333333E-2</v>
      </c>
      <c r="C99" s="226">
        <v>1.9583333333333335E-2</v>
      </c>
      <c r="D99" s="226">
        <v>0</v>
      </c>
      <c r="E99" s="226">
        <v>4.0162037037037038E-2</v>
      </c>
      <c r="F99" s="226">
        <v>0</v>
      </c>
      <c r="G99" s="226">
        <v>0</v>
      </c>
      <c r="H99" s="226">
        <v>0</v>
      </c>
      <c r="I99" s="226">
        <v>8.6782407407407405E-2</v>
      </c>
    </row>
    <row r="100" spans="1:9">
      <c r="A100" s="224" t="s">
        <v>514</v>
      </c>
      <c r="B100" s="226">
        <v>2.7569444444444445E-2</v>
      </c>
      <c r="C100" s="226">
        <v>2.0671296296296295E-2</v>
      </c>
      <c r="D100" s="226">
        <v>0</v>
      </c>
      <c r="E100" s="226">
        <v>0</v>
      </c>
      <c r="F100" s="226">
        <v>0</v>
      </c>
      <c r="G100" s="226">
        <v>0</v>
      </c>
      <c r="H100" s="226">
        <v>0</v>
      </c>
      <c r="I100" s="226">
        <v>4.9467592592592591E-2</v>
      </c>
    </row>
    <row r="101" spans="1:9">
      <c r="A101" s="224" t="s">
        <v>515</v>
      </c>
      <c r="B101" s="226">
        <v>2.6678240740740742E-2</v>
      </c>
      <c r="C101" s="226">
        <v>2.1493055555555557E-2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4.8240740740740744E-2</v>
      </c>
    </row>
    <row r="102" spans="1:9">
      <c r="A102" s="224" t="s">
        <v>516</v>
      </c>
      <c r="B102" s="226">
        <v>1.4884259259259259E-2</v>
      </c>
      <c r="C102" s="226">
        <v>3.3750000000000002E-2</v>
      </c>
      <c r="D102" s="226">
        <v>0</v>
      </c>
      <c r="E102" s="226">
        <v>3.7187499999999998E-2</v>
      </c>
      <c r="F102" s="226">
        <v>0</v>
      </c>
      <c r="G102" s="226">
        <v>0</v>
      </c>
      <c r="H102" s="226">
        <v>2.1817129629629631E-2</v>
      </c>
      <c r="I102" s="226">
        <v>0.11229166666666666</v>
      </c>
    </row>
    <row r="103" spans="1:9">
      <c r="A103" s="224" t="s">
        <v>517</v>
      </c>
      <c r="B103" s="226">
        <v>2.7708333333333335E-2</v>
      </c>
      <c r="C103" s="226">
        <v>2.0289351851851854E-2</v>
      </c>
      <c r="D103" s="226">
        <v>0</v>
      </c>
      <c r="E103" s="226">
        <v>0</v>
      </c>
      <c r="F103" s="226">
        <v>0</v>
      </c>
      <c r="G103" s="226">
        <v>0</v>
      </c>
      <c r="H103" s="226">
        <v>2.8518518518518519E-2</v>
      </c>
      <c r="I103" s="226">
        <v>7.6817129629629624E-2</v>
      </c>
    </row>
    <row r="104" spans="1:9">
      <c r="A104" s="224" t="s">
        <v>518</v>
      </c>
      <c r="B104" s="226">
        <v>2.6099537037037036E-2</v>
      </c>
      <c r="C104" s="226">
        <v>2.6620370370370371E-2</v>
      </c>
      <c r="D104" s="226">
        <v>0</v>
      </c>
      <c r="E104" s="226">
        <v>0</v>
      </c>
      <c r="F104" s="226">
        <v>0</v>
      </c>
      <c r="G104" s="226">
        <v>0</v>
      </c>
      <c r="H104" s="226">
        <v>1.3854166666666667E-2</v>
      </c>
      <c r="I104" s="226">
        <v>6.7326388888888894E-2</v>
      </c>
    </row>
    <row r="105" spans="1:9">
      <c r="A105" s="224" t="s">
        <v>519</v>
      </c>
      <c r="B105" s="226">
        <v>2.644675925925926E-2</v>
      </c>
      <c r="C105" s="226">
        <v>2.0868055555555556E-2</v>
      </c>
      <c r="D105" s="226">
        <v>5.4340277777777779E-2</v>
      </c>
      <c r="E105" s="226">
        <v>0</v>
      </c>
      <c r="F105" s="226">
        <v>0.10902777777777778</v>
      </c>
      <c r="G105" s="226">
        <v>0</v>
      </c>
      <c r="H105" s="226">
        <v>2.488425925925926E-3</v>
      </c>
      <c r="I105" s="226">
        <v>0.21383101851851852</v>
      </c>
    </row>
    <row r="106" spans="1:9">
      <c r="A106" s="224" t="s">
        <v>520</v>
      </c>
      <c r="B106" s="226">
        <v>2.9502314814814815E-2</v>
      </c>
      <c r="C106" s="226">
        <v>2.056712962962963E-2</v>
      </c>
      <c r="D106" s="226">
        <v>0</v>
      </c>
      <c r="E106" s="226">
        <v>0</v>
      </c>
      <c r="F106" s="226">
        <v>0</v>
      </c>
      <c r="G106" s="226">
        <v>0</v>
      </c>
      <c r="H106" s="226">
        <v>0</v>
      </c>
      <c r="I106" s="226">
        <v>5.0925925925925923E-2</v>
      </c>
    </row>
    <row r="107" spans="1:9">
      <c r="A107" s="224" t="s">
        <v>521</v>
      </c>
      <c r="B107" s="226">
        <v>2.7754629629629629E-2</v>
      </c>
      <c r="C107" s="226">
        <v>2.045138888888889E-2</v>
      </c>
      <c r="D107" s="226">
        <v>0</v>
      </c>
      <c r="E107" s="226">
        <v>0</v>
      </c>
      <c r="F107" s="226">
        <v>0</v>
      </c>
      <c r="G107" s="226">
        <v>0</v>
      </c>
      <c r="H107" s="226">
        <v>0.29631944444444447</v>
      </c>
      <c r="I107" s="226">
        <v>0.34513888888888888</v>
      </c>
    </row>
    <row r="108" spans="1:9">
      <c r="A108" s="224" t="s">
        <v>522</v>
      </c>
      <c r="B108" s="226">
        <v>2.7604166666666666E-2</v>
      </c>
      <c r="C108" s="226">
        <v>1.8530092592592591E-2</v>
      </c>
      <c r="D108" s="226">
        <v>4.4236111111111108E-2</v>
      </c>
      <c r="E108" s="226">
        <v>0</v>
      </c>
      <c r="F108" s="226">
        <v>0</v>
      </c>
      <c r="G108" s="226">
        <v>0</v>
      </c>
      <c r="H108" s="226">
        <v>0</v>
      </c>
      <c r="I108" s="226">
        <v>9.0462962962962967E-2</v>
      </c>
    </row>
    <row r="109" spans="1:9">
      <c r="A109" s="224" t="s">
        <v>523</v>
      </c>
      <c r="B109" s="226">
        <v>1.9444444444444445E-2</v>
      </c>
      <c r="C109" s="226">
        <v>1.7673611111111112E-2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3.7349537037037035E-2</v>
      </c>
    </row>
    <row r="110" spans="1:9">
      <c r="A110" s="224" t="s">
        <v>524</v>
      </c>
      <c r="B110" s="226">
        <v>2.7199074074074073E-2</v>
      </c>
      <c r="C110" s="226">
        <v>2.0798611111111111E-2</v>
      </c>
      <c r="D110" s="226">
        <v>0</v>
      </c>
      <c r="E110" s="226">
        <v>0</v>
      </c>
      <c r="F110" s="226">
        <v>0</v>
      </c>
      <c r="G110" s="226">
        <v>0</v>
      </c>
      <c r="H110" s="226">
        <v>0</v>
      </c>
      <c r="I110" s="226">
        <v>4.8194444444444443E-2</v>
      </c>
    </row>
    <row r="111" spans="1:9">
      <c r="A111" s="224" t="s">
        <v>525</v>
      </c>
      <c r="B111" s="226">
        <v>2.8333333333333332E-2</v>
      </c>
      <c r="C111" s="226">
        <v>1.9224537037037037E-2</v>
      </c>
      <c r="D111" s="226">
        <v>0</v>
      </c>
      <c r="E111" s="226">
        <v>0</v>
      </c>
      <c r="F111" s="226">
        <v>0</v>
      </c>
      <c r="G111" s="226">
        <v>0</v>
      </c>
      <c r="H111" s="226">
        <v>0</v>
      </c>
      <c r="I111" s="226">
        <v>4.7685185185185185E-2</v>
      </c>
    </row>
    <row r="112" spans="1:9">
      <c r="A112" s="224" t="s">
        <v>526</v>
      </c>
      <c r="B112" s="226">
        <v>2.7650462962962963E-2</v>
      </c>
      <c r="C112" s="226">
        <v>2.0347222222222221E-2</v>
      </c>
      <c r="D112" s="226">
        <v>0</v>
      </c>
      <c r="E112" s="226">
        <v>0</v>
      </c>
      <c r="F112" s="226">
        <v>0</v>
      </c>
      <c r="G112" s="226">
        <v>0</v>
      </c>
      <c r="H112" s="226">
        <v>3.3993055555555554E-2</v>
      </c>
      <c r="I112" s="226">
        <v>8.2974537037037041E-2</v>
      </c>
    </row>
    <row r="113" spans="1:9">
      <c r="A113" s="224" t="s">
        <v>527</v>
      </c>
      <c r="B113" s="226">
        <v>2.7268518518518518E-2</v>
      </c>
      <c r="C113" s="226">
        <v>2.0648148148148148E-2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4.8414351851851854E-2</v>
      </c>
    </row>
    <row r="114" spans="1:9">
      <c r="A114" s="224" t="s">
        <v>528</v>
      </c>
      <c r="B114" s="226">
        <v>2.7870370370370372E-2</v>
      </c>
      <c r="C114" s="226">
        <v>2.0625000000000001E-2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4.8784722222222222E-2</v>
      </c>
    </row>
    <row r="115" spans="1:9">
      <c r="A115" s="224" t="s">
        <v>529</v>
      </c>
      <c r="B115" s="226">
        <v>2.7627314814814816E-2</v>
      </c>
      <c r="C115" s="226">
        <v>2.0787037037037038E-2</v>
      </c>
      <c r="D115" s="226">
        <v>0</v>
      </c>
      <c r="E115" s="226">
        <v>0</v>
      </c>
      <c r="F115" s="226">
        <v>0</v>
      </c>
      <c r="G115" s="226">
        <v>2.3148148148148147E-5</v>
      </c>
      <c r="H115" s="226">
        <v>2.8009259259259259E-3</v>
      </c>
      <c r="I115" s="226">
        <v>5.1342592592592592E-2</v>
      </c>
    </row>
    <row r="116" spans="1:9">
      <c r="A116" s="224" t="s">
        <v>530</v>
      </c>
      <c r="B116" s="226">
        <v>2.7685185185185184E-2</v>
      </c>
      <c r="C116" s="226">
        <v>2.0532407407407409E-2</v>
      </c>
      <c r="D116" s="226">
        <v>0</v>
      </c>
      <c r="E116" s="226">
        <v>0</v>
      </c>
      <c r="F116" s="226">
        <v>0</v>
      </c>
      <c r="G116" s="226">
        <v>0</v>
      </c>
      <c r="H116" s="226">
        <v>0</v>
      </c>
      <c r="I116" s="226">
        <v>4.8472222222222222E-2</v>
      </c>
    </row>
    <row r="117" spans="1:9">
      <c r="A117" s="224" t="s">
        <v>531</v>
      </c>
      <c r="B117" s="226">
        <v>2.7789351851851853E-2</v>
      </c>
      <c r="C117" s="226">
        <v>2.1064814814814814E-2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4.9282407407407407E-2</v>
      </c>
    </row>
    <row r="118" spans="1:9">
      <c r="A118" s="224" t="s">
        <v>532</v>
      </c>
      <c r="B118" s="226">
        <v>2.900462962962963E-2</v>
      </c>
      <c r="C118" s="226">
        <v>1.954861111111111E-2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5.0011574074074076E-2</v>
      </c>
    </row>
    <row r="119" spans="1:9">
      <c r="A119" s="224" t="s">
        <v>533</v>
      </c>
      <c r="B119" s="226">
        <v>2.6921296296296297E-2</v>
      </c>
      <c r="C119" s="226">
        <v>2.0532407407407409E-2</v>
      </c>
      <c r="D119" s="226">
        <v>0</v>
      </c>
      <c r="E119" s="226">
        <v>0</v>
      </c>
      <c r="F119" s="226">
        <v>0</v>
      </c>
      <c r="G119" s="226">
        <v>0</v>
      </c>
      <c r="H119" s="226">
        <v>1.6226851851851853E-2</v>
      </c>
      <c r="I119" s="226">
        <v>6.4317129629629627E-2</v>
      </c>
    </row>
    <row r="120" spans="1:9">
      <c r="A120" s="224" t="s">
        <v>534</v>
      </c>
      <c r="B120" s="226">
        <v>2.9490740740740741E-2</v>
      </c>
      <c r="C120" s="226">
        <v>1.7430555555555557E-2</v>
      </c>
      <c r="D120" s="226">
        <v>0</v>
      </c>
      <c r="E120" s="226">
        <v>0</v>
      </c>
      <c r="F120" s="226">
        <v>0</v>
      </c>
      <c r="G120" s="226">
        <v>0</v>
      </c>
      <c r="H120" s="226">
        <v>2.2141203703703705E-2</v>
      </c>
      <c r="I120" s="226">
        <v>7.3344907407407414E-2</v>
      </c>
    </row>
    <row r="121" spans="1:9">
      <c r="A121" s="224" t="s">
        <v>535</v>
      </c>
      <c r="B121" s="226">
        <v>2.6851851851851852E-2</v>
      </c>
      <c r="C121" s="226">
        <v>2.0196759259259258E-2</v>
      </c>
      <c r="D121" s="226">
        <v>0</v>
      </c>
      <c r="E121" s="226">
        <v>0</v>
      </c>
      <c r="F121" s="226">
        <v>0</v>
      </c>
      <c r="G121" s="226">
        <v>0</v>
      </c>
      <c r="H121" s="226">
        <v>0</v>
      </c>
      <c r="I121" s="226">
        <v>4.7754629629629633E-2</v>
      </c>
    </row>
    <row r="122" spans="1:9">
      <c r="A122" s="224" t="s">
        <v>536</v>
      </c>
      <c r="B122" s="226">
        <v>2.7546296296296298E-2</v>
      </c>
      <c r="C122" s="226">
        <v>2.0694444444444446E-2</v>
      </c>
      <c r="D122" s="226">
        <v>0</v>
      </c>
      <c r="E122" s="226">
        <v>0</v>
      </c>
      <c r="F122" s="226">
        <v>0.10515046296296296</v>
      </c>
      <c r="G122" s="226">
        <v>0</v>
      </c>
      <c r="H122" s="226">
        <v>0</v>
      </c>
      <c r="I122" s="226">
        <v>0.15493055555555554</v>
      </c>
    </row>
    <row r="123" spans="1:9">
      <c r="A123" s="224" t="s">
        <v>537</v>
      </c>
      <c r="B123" s="226">
        <v>2.736111111111111E-2</v>
      </c>
      <c r="C123" s="226">
        <v>2.133101851851852E-2</v>
      </c>
      <c r="D123" s="226">
        <v>5.8090277777777775E-2</v>
      </c>
      <c r="E123" s="226">
        <v>0</v>
      </c>
      <c r="F123" s="226">
        <v>0</v>
      </c>
      <c r="G123" s="226">
        <v>0</v>
      </c>
      <c r="H123" s="226">
        <v>2.8356481481481483E-2</v>
      </c>
      <c r="I123" s="226">
        <v>0.13547453703703705</v>
      </c>
    </row>
    <row r="124" spans="1:9">
      <c r="A124" s="224" t="s">
        <v>538</v>
      </c>
      <c r="B124" s="226">
        <v>2.736111111111111E-2</v>
      </c>
      <c r="C124" s="226">
        <v>2.0474537037037038E-2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4.8599537037037038E-2</v>
      </c>
    </row>
    <row r="125" spans="1:9">
      <c r="A125" s="224" t="s">
        <v>539</v>
      </c>
      <c r="B125" s="226">
        <v>2.4594907407407409E-2</v>
      </c>
      <c r="C125" s="226">
        <v>1.1064814814814816E-2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3.8645833333333331E-2</v>
      </c>
    </row>
    <row r="126" spans="1:9">
      <c r="A126" s="224" t="s">
        <v>540</v>
      </c>
      <c r="B126" s="226">
        <v>2.8587962962962964E-2</v>
      </c>
      <c r="C126" s="226">
        <v>2.0393518518518519E-2</v>
      </c>
      <c r="D126" s="226">
        <v>0</v>
      </c>
      <c r="E126" s="226">
        <v>0</v>
      </c>
      <c r="F126" s="226">
        <v>0</v>
      </c>
      <c r="G126" s="226">
        <v>0</v>
      </c>
      <c r="H126" s="226">
        <v>2.0798611111111111E-2</v>
      </c>
      <c r="I126" s="226">
        <v>7.048611111111111E-2</v>
      </c>
    </row>
    <row r="127" spans="1:9">
      <c r="A127" s="224" t="s">
        <v>541</v>
      </c>
      <c r="B127" s="226">
        <v>2.7534722222222221E-2</v>
      </c>
      <c r="C127" s="226">
        <v>1.0034722222222223E-2</v>
      </c>
      <c r="D127" s="226">
        <v>0</v>
      </c>
      <c r="E127" s="226">
        <v>0</v>
      </c>
      <c r="F127" s="226">
        <v>0.10326388888888889</v>
      </c>
      <c r="G127" s="226">
        <v>0</v>
      </c>
      <c r="H127" s="226">
        <v>0</v>
      </c>
      <c r="I127" s="226">
        <v>0.14153935185185185</v>
      </c>
    </row>
    <row r="128" spans="1:9">
      <c r="A128" s="224" t="s">
        <v>542</v>
      </c>
      <c r="B128" s="226">
        <v>2.736111111111111E-2</v>
      </c>
      <c r="C128" s="226">
        <v>2.1550925925925925E-2</v>
      </c>
      <c r="D128" s="226">
        <v>0</v>
      </c>
      <c r="E128" s="226">
        <v>4.5567129629629631E-2</v>
      </c>
      <c r="F128" s="226">
        <v>0</v>
      </c>
      <c r="G128" s="226">
        <v>0</v>
      </c>
      <c r="H128" s="226">
        <v>0</v>
      </c>
      <c r="I128" s="226">
        <v>9.5694444444444443E-2</v>
      </c>
    </row>
    <row r="129" spans="1:9">
      <c r="A129" s="224" t="s">
        <v>543</v>
      </c>
      <c r="B129" s="226">
        <v>2.7430555555555555E-2</v>
      </c>
      <c r="C129" s="226">
        <v>2.0659722222222222E-2</v>
      </c>
      <c r="D129" s="226">
        <v>0</v>
      </c>
      <c r="E129" s="226">
        <v>0</v>
      </c>
      <c r="F129" s="226">
        <v>0</v>
      </c>
      <c r="G129" s="226">
        <v>6.4004629629629628E-3</v>
      </c>
      <c r="H129" s="226">
        <v>0</v>
      </c>
      <c r="I129" s="226">
        <v>5.5231481481481479E-2</v>
      </c>
    </row>
    <row r="130" spans="1:9">
      <c r="A130" s="224" t="s">
        <v>544</v>
      </c>
      <c r="B130" s="226">
        <v>2.7407407407407408E-2</v>
      </c>
      <c r="C130" s="226">
        <v>2.0381944444444446E-2</v>
      </c>
      <c r="D130" s="226">
        <v>0</v>
      </c>
      <c r="E130" s="226">
        <v>3.6655092592592593E-2</v>
      </c>
      <c r="F130" s="226">
        <v>0.10546296296296297</v>
      </c>
      <c r="G130" s="226">
        <v>0</v>
      </c>
      <c r="H130" s="226">
        <v>0</v>
      </c>
      <c r="I130" s="226">
        <v>0.19140046296296295</v>
      </c>
    </row>
    <row r="131" spans="1:9">
      <c r="A131" s="224" t="s">
        <v>545</v>
      </c>
      <c r="B131" s="226">
        <v>2.7650462962962963E-2</v>
      </c>
      <c r="C131" s="226">
        <v>2.0729166666666667E-2</v>
      </c>
      <c r="D131" s="226">
        <v>0</v>
      </c>
      <c r="E131" s="226">
        <v>0</v>
      </c>
      <c r="F131" s="226">
        <v>0</v>
      </c>
      <c r="G131" s="226">
        <v>0</v>
      </c>
      <c r="H131" s="226">
        <v>0</v>
      </c>
      <c r="I131" s="226">
        <v>4.8506944444444443E-2</v>
      </c>
    </row>
    <row r="132" spans="1:9">
      <c r="A132" s="224" t="s">
        <v>546</v>
      </c>
      <c r="B132" s="226">
        <v>2.763888888888889E-2</v>
      </c>
      <c r="C132" s="226">
        <v>2.0659722222222222E-2</v>
      </c>
      <c r="D132" s="226">
        <v>0</v>
      </c>
      <c r="E132" s="226">
        <v>0</v>
      </c>
      <c r="F132" s="226">
        <v>0</v>
      </c>
      <c r="G132" s="226">
        <v>0</v>
      </c>
      <c r="H132" s="226">
        <v>3.2939814814814818E-2</v>
      </c>
      <c r="I132" s="226">
        <v>8.1423611111111113E-2</v>
      </c>
    </row>
    <row r="133" spans="1:9">
      <c r="A133" s="224" t="s">
        <v>547</v>
      </c>
      <c r="B133" s="226">
        <v>2.7141203703703702E-2</v>
      </c>
      <c r="C133" s="226">
        <v>1.0601851851851852E-2</v>
      </c>
      <c r="D133" s="226">
        <v>0</v>
      </c>
      <c r="E133" s="226">
        <v>0</v>
      </c>
      <c r="F133" s="226">
        <v>0</v>
      </c>
      <c r="G133" s="226">
        <v>0</v>
      </c>
      <c r="H133" s="226">
        <v>0.15319444444444444</v>
      </c>
      <c r="I133" s="226">
        <v>0.19189814814814815</v>
      </c>
    </row>
    <row r="134" spans="1:9">
      <c r="A134" s="224" t="s">
        <v>548</v>
      </c>
      <c r="B134" s="226">
        <v>3.0173611111111109E-2</v>
      </c>
      <c r="C134" s="226">
        <v>1.9849537037037037E-2</v>
      </c>
      <c r="D134" s="226">
        <v>0</v>
      </c>
      <c r="E134" s="226">
        <v>0</v>
      </c>
      <c r="F134" s="226">
        <v>0</v>
      </c>
      <c r="G134" s="226">
        <v>0</v>
      </c>
      <c r="H134" s="226">
        <v>0</v>
      </c>
      <c r="I134" s="226">
        <v>5.1666666666666666E-2</v>
      </c>
    </row>
    <row r="135" spans="1:9">
      <c r="A135" s="224" t="s">
        <v>549</v>
      </c>
      <c r="B135" s="226">
        <v>2.7881944444444445E-2</v>
      </c>
      <c r="C135" s="226">
        <v>3.5104166666666665E-2</v>
      </c>
      <c r="D135" s="226">
        <v>2.3148148148148147E-5</v>
      </c>
      <c r="E135" s="226">
        <v>0</v>
      </c>
      <c r="F135" s="226">
        <v>0</v>
      </c>
      <c r="G135" s="226">
        <v>1.7708333333333332E-3</v>
      </c>
      <c r="H135" s="226">
        <v>9.9259259259259255E-2</v>
      </c>
      <c r="I135" s="226">
        <v>0.1645486111111111</v>
      </c>
    </row>
    <row r="136" spans="1:9">
      <c r="A136" s="224" t="s">
        <v>550</v>
      </c>
      <c r="B136" s="226">
        <v>2.4513888888888891E-2</v>
      </c>
      <c r="C136" s="226">
        <v>1.9976851851851853E-2</v>
      </c>
      <c r="D136" s="226">
        <v>5.033564814814815E-2</v>
      </c>
      <c r="E136" s="226">
        <v>0</v>
      </c>
      <c r="F136" s="226">
        <v>0</v>
      </c>
      <c r="G136" s="226">
        <v>0</v>
      </c>
      <c r="H136" s="226">
        <v>0</v>
      </c>
      <c r="I136" s="226">
        <v>9.5034722222222229E-2</v>
      </c>
    </row>
    <row r="137" spans="1:9">
      <c r="A137" s="224" t="s">
        <v>551</v>
      </c>
      <c r="B137" s="226">
        <v>2.78125E-2</v>
      </c>
      <c r="C137" s="226">
        <v>2.1261574074074075E-2</v>
      </c>
      <c r="D137" s="226">
        <v>0</v>
      </c>
      <c r="E137" s="226">
        <v>3.878472222222222E-2</v>
      </c>
      <c r="F137" s="226">
        <v>0</v>
      </c>
      <c r="G137" s="226">
        <v>0</v>
      </c>
      <c r="H137" s="226">
        <v>0</v>
      </c>
      <c r="I137" s="226">
        <v>8.7997685185185179E-2</v>
      </c>
    </row>
    <row r="138" spans="1:9">
      <c r="A138" s="224" t="s">
        <v>552</v>
      </c>
      <c r="B138" s="226">
        <v>2.795138888888889E-2</v>
      </c>
      <c r="C138" s="226">
        <v>1.9097222222222224E-2</v>
      </c>
      <c r="D138" s="226">
        <v>0</v>
      </c>
      <c r="E138" s="226">
        <v>0</v>
      </c>
      <c r="F138" s="226">
        <v>0</v>
      </c>
      <c r="G138" s="226">
        <v>0</v>
      </c>
      <c r="H138" s="226">
        <v>0</v>
      </c>
      <c r="I138" s="226">
        <v>4.7395833333333331E-2</v>
      </c>
    </row>
    <row r="139" spans="1:9">
      <c r="A139" s="224" t="s">
        <v>553</v>
      </c>
      <c r="B139" s="226">
        <v>0</v>
      </c>
      <c r="C139" s="226">
        <v>1.9305555555555555E-2</v>
      </c>
      <c r="D139" s="226">
        <v>0</v>
      </c>
      <c r="E139" s="226">
        <v>0</v>
      </c>
      <c r="F139" s="226">
        <v>0.13769675925925925</v>
      </c>
      <c r="G139" s="226">
        <v>0</v>
      </c>
      <c r="H139" s="226">
        <v>0</v>
      </c>
      <c r="I139" s="226">
        <v>0.1575462962962963</v>
      </c>
    </row>
    <row r="140" spans="1:9">
      <c r="A140" s="224" t="s">
        <v>554</v>
      </c>
      <c r="B140" s="226">
        <v>2.7569444444444445E-2</v>
      </c>
      <c r="C140" s="226">
        <v>2.0393518518518519E-2</v>
      </c>
      <c r="D140" s="226">
        <v>4.5821759259259257E-2</v>
      </c>
      <c r="E140" s="226">
        <v>0</v>
      </c>
      <c r="F140" s="226">
        <v>0</v>
      </c>
      <c r="G140" s="226">
        <v>0</v>
      </c>
      <c r="H140" s="226">
        <v>0</v>
      </c>
      <c r="I140" s="226">
        <v>9.5196759259259259E-2</v>
      </c>
    </row>
    <row r="141" spans="1:9">
      <c r="A141" s="224" t="s">
        <v>555</v>
      </c>
      <c r="B141" s="226">
        <v>2.7893518518518519E-2</v>
      </c>
      <c r="C141" s="226">
        <v>2.0844907407407406E-2</v>
      </c>
      <c r="D141" s="226">
        <v>0</v>
      </c>
      <c r="E141" s="226">
        <v>0</v>
      </c>
      <c r="F141" s="226">
        <v>0</v>
      </c>
      <c r="G141" s="226">
        <v>0</v>
      </c>
      <c r="H141" s="226">
        <v>0</v>
      </c>
      <c r="I141" s="226">
        <v>4.8854166666666664E-2</v>
      </c>
    </row>
    <row r="142" spans="1:9">
      <c r="A142" s="224" t="s">
        <v>556</v>
      </c>
      <c r="B142" s="226">
        <v>2.7337962962962963E-2</v>
      </c>
      <c r="C142" s="226">
        <v>1.9872685185185184E-2</v>
      </c>
      <c r="D142" s="226">
        <v>0</v>
      </c>
      <c r="E142" s="226">
        <v>3.7754629629629631E-2</v>
      </c>
      <c r="F142" s="226">
        <v>0.10428240740740741</v>
      </c>
      <c r="G142" s="226">
        <v>0</v>
      </c>
      <c r="H142" s="226">
        <v>0</v>
      </c>
      <c r="I142" s="226">
        <v>0.18931712962962963</v>
      </c>
    </row>
    <row r="143" spans="1:9">
      <c r="A143" s="224" t="s">
        <v>557</v>
      </c>
      <c r="B143" s="226">
        <v>2.4120370370370372E-2</v>
      </c>
      <c r="C143" s="226">
        <v>2.0509259259259258E-2</v>
      </c>
      <c r="D143" s="226">
        <v>0</v>
      </c>
      <c r="E143" s="226">
        <v>0</v>
      </c>
      <c r="F143" s="226">
        <v>0</v>
      </c>
      <c r="G143" s="226">
        <v>0</v>
      </c>
      <c r="H143" s="226">
        <v>0</v>
      </c>
      <c r="I143" s="226">
        <v>5.1898148148148152E-2</v>
      </c>
    </row>
    <row r="144" spans="1:9">
      <c r="A144" s="224" t="s">
        <v>558</v>
      </c>
      <c r="B144" s="226">
        <v>2.6261574074074073E-2</v>
      </c>
      <c r="C144" s="226">
        <v>2.1423611111111112E-2</v>
      </c>
      <c r="D144" s="226">
        <v>0</v>
      </c>
      <c r="E144" s="226">
        <v>0</v>
      </c>
      <c r="F144" s="226">
        <v>0</v>
      </c>
      <c r="G144" s="226">
        <v>0</v>
      </c>
      <c r="H144" s="226">
        <v>0.16267361111111112</v>
      </c>
      <c r="I144" s="226">
        <v>0.21081018518518518</v>
      </c>
    </row>
    <row r="145" spans="1:9">
      <c r="A145" s="224" t="s">
        <v>559</v>
      </c>
      <c r="B145" s="226">
        <v>2.7604166666666666E-2</v>
      </c>
      <c r="C145" s="226">
        <v>2.2314814814814815E-2</v>
      </c>
      <c r="D145" s="226">
        <v>0</v>
      </c>
      <c r="E145" s="226">
        <v>0</v>
      </c>
      <c r="F145" s="226">
        <v>0</v>
      </c>
      <c r="G145" s="226">
        <v>0</v>
      </c>
      <c r="H145" s="226">
        <v>0</v>
      </c>
      <c r="I145" s="226">
        <v>5.0046296296296297E-2</v>
      </c>
    </row>
    <row r="146" spans="1:9">
      <c r="A146" s="224" t="s">
        <v>560</v>
      </c>
      <c r="B146" s="226">
        <v>2.7777777777777776E-2</v>
      </c>
      <c r="C146" s="226">
        <v>1.0381944444444444E-2</v>
      </c>
      <c r="D146" s="226">
        <v>0</v>
      </c>
      <c r="E146" s="226">
        <v>0</v>
      </c>
      <c r="F146" s="226">
        <v>0</v>
      </c>
      <c r="G146" s="226">
        <v>0</v>
      </c>
      <c r="H146" s="226">
        <v>0</v>
      </c>
      <c r="I146" s="226">
        <v>3.8946759259259257E-2</v>
      </c>
    </row>
    <row r="147" spans="1:9">
      <c r="A147" s="224" t="s">
        <v>561</v>
      </c>
      <c r="B147" s="226">
        <v>3.0208333333333334E-2</v>
      </c>
      <c r="C147" s="226">
        <v>1.5682870370370371E-2</v>
      </c>
      <c r="D147" s="226">
        <v>0</v>
      </c>
      <c r="E147" s="226">
        <v>4.6087962962962963E-2</v>
      </c>
      <c r="F147" s="226">
        <v>0</v>
      </c>
      <c r="G147" s="226">
        <v>0</v>
      </c>
      <c r="H147" s="226">
        <v>7.4687500000000004E-2</v>
      </c>
      <c r="I147" s="226">
        <v>0.16840277777777779</v>
      </c>
    </row>
    <row r="148" spans="1:9">
      <c r="A148" s="224" t="s">
        <v>562</v>
      </c>
      <c r="B148" s="226">
        <v>2.3692129629629629E-2</v>
      </c>
      <c r="C148" s="226">
        <v>2.462962962962963E-2</v>
      </c>
      <c r="D148" s="226">
        <v>0</v>
      </c>
      <c r="E148" s="226">
        <v>0</v>
      </c>
      <c r="F148" s="226">
        <v>0</v>
      </c>
      <c r="G148" s="226">
        <v>0</v>
      </c>
      <c r="H148" s="226">
        <v>0</v>
      </c>
      <c r="I148" s="226">
        <v>5.0127314814814812E-2</v>
      </c>
    </row>
    <row r="149" spans="1:9">
      <c r="A149" s="224" t="s">
        <v>563</v>
      </c>
      <c r="B149" s="226">
        <v>0</v>
      </c>
      <c r="C149" s="226">
        <v>1.0347222222222223E-2</v>
      </c>
      <c r="D149" s="226">
        <v>0</v>
      </c>
      <c r="E149" s="226">
        <v>0</v>
      </c>
      <c r="F149" s="226">
        <v>0</v>
      </c>
      <c r="G149" s="226">
        <v>0</v>
      </c>
      <c r="H149" s="226">
        <v>0</v>
      </c>
      <c r="I149" s="226">
        <v>1.0451388888888889E-2</v>
      </c>
    </row>
    <row r="150" spans="1:9">
      <c r="A150" s="224" t="s">
        <v>564</v>
      </c>
      <c r="B150" s="226">
        <v>2.7847222222222221E-2</v>
      </c>
      <c r="C150" s="226">
        <v>2.0254629629629629E-2</v>
      </c>
      <c r="D150" s="226">
        <v>4.6412037037037036E-2</v>
      </c>
      <c r="E150" s="226">
        <v>0</v>
      </c>
      <c r="F150" s="226">
        <v>0</v>
      </c>
      <c r="G150" s="226">
        <v>0</v>
      </c>
      <c r="H150" s="226">
        <v>0</v>
      </c>
      <c r="I150" s="226">
        <v>9.5034722222222229E-2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03878-4B3B-421C-91CE-BBEBB3FF1EB5}">
  <dimension ref="A1:Q150"/>
  <sheetViews>
    <sheetView workbookViewId="0">
      <selection activeCell="D5" sqref="D5"/>
    </sheetView>
  </sheetViews>
  <sheetFormatPr defaultRowHeight="15"/>
  <cols>
    <col min="1" max="1" width="29.85546875" bestFit="1" customWidth="1"/>
    <col min="2" max="2" width="20.140625" bestFit="1" customWidth="1"/>
    <col min="3" max="3" width="15.42578125" bestFit="1" customWidth="1"/>
    <col min="4" max="4" width="14.42578125" bestFit="1" customWidth="1"/>
    <col min="5" max="5" width="23.28515625" bestFit="1" customWidth="1"/>
    <col min="6" max="6" width="16.85546875" bestFit="1" customWidth="1"/>
    <col min="7" max="7" width="11.7109375" bestFit="1" customWidth="1"/>
    <col min="8" max="8" width="6.28515625" bestFit="1" customWidth="1"/>
    <col min="9" max="9" width="15.42578125" bestFit="1" customWidth="1"/>
    <col min="10" max="10" width="12.42578125" bestFit="1" customWidth="1"/>
    <col min="11" max="11" width="18.140625" bestFit="1" customWidth="1"/>
    <col min="12" max="12" width="13.28515625" bestFit="1" customWidth="1"/>
    <col min="13" max="13" width="14.42578125" bestFit="1" customWidth="1"/>
    <col min="14" max="14" width="10.5703125" bestFit="1" customWidth="1"/>
    <col min="15" max="15" width="16.85546875" bestFit="1" customWidth="1"/>
    <col min="16" max="16" width="15.28515625" bestFit="1" customWidth="1"/>
    <col min="17" max="17" width="8.28515625" bestFit="1" customWidth="1"/>
  </cols>
  <sheetData>
    <row r="1" spans="1:17">
      <c r="A1" s="223" t="s">
        <v>565</v>
      </c>
      <c r="B1" s="223" t="s">
        <v>566</v>
      </c>
      <c r="C1" s="223" t="s">
        <v>567</v>
      </c>
      <c r="D1" s="223" t="s">
        <v>568</v>
      </c>
      <c r="E1" s="223" t="s">
        <v>569</v>
      </c>
      <c r="F1" s="223" t="s">
        <v>570</v>
      </c>
      <c r="G1" s="223" t="s">
        <v>571</v>
      </c>
      <c r="H1" s="223" t="s">
        <v>572</v>
      </c>
      <c r="I1" s="223" t="s">
        <v>573</v>
      </c>
      <c r="J1" s="223" t="s">
        <v>574</v>
      </c>
      <c r="K1" s="223" t="s">
        <v>575</v>
      </c>
      <c r="L1" s="223" t="s">
        <v>576</v>
      </c>
      <c r="M1" s="223" t="s">
        <v>577</v>
      </c>
      <c r="N1" s="223" t="s">
        <v>578</v>
      </c>
      <c r="O1" s="223" t="s">
        <v>579</v>
      </c>
      <c r="P1" s="223" t="s">
        <v>580</v>
      </c>
      <c r="Q1" s="223" t="s">
        <v>581</v>
      </c>
    </row>
    <row r="2" spans="1:17">
      <c r="A2" s="224" t="s">
        <v>416</v>
      </c>
      <c r="B2" s="226">
        <v>0.34424768518518517</v>
      </c>
      <c r="C2" s="226">
        <v>0.20693287037037036</v>
      </c>
      <c r="D2" s="225">
        <v>98</v>
      </c>
      <c r="E2" s="227">
        <v>0.69540000000000002</v>
      </c>
      <c r="F2" s="227">
        <v>0.55700000000000005</v>
      </c>
      <c r="G2" s="227">
        <v>0.57850000000000001</v>
      </c>
      <c r="H2" s="227">
        <v>1E-4</v>
      </c>
      <c r="I2" s="227">
        <v>0.25679999999999997</v>
      </c>
      <c r="J2" s="227">
        <v>2.2499999999999999E-2</v>
      </c>
      <c r="K2" s="227">
        <v>0</v>
      </c>
      <c r="L2" s="227">
        <v>0.1386</v>
      </c>
      <c r="M2" s="227">
        <v>3.5000000000000001E-3</v>
      </c>
      <c r="N2" s="225">
        <v>2</v>
      </c>
      <c r="O2" s="225">
        <v>3</v>
      </c>
      <c r="P2" s="225">
        <v>0</v>
      </c>
      <c r="Q2" s="225">
        <v>0</v>
      </c>
    </row>
    <row r="3" spans="1:17">
      <c r="A3" s="224" t="s">
        <v>417</v>
      </c>
      <c r="B3" s="226">
        <v>0.34416666666666668</v>
      </c>
      <c r="C3" s="226">
        <v>0.20733796296296297</v>
      </c>
      <c r="D3" s="225">
        <v>23</v>
      </c>
      <c r="E3" s="227">
        <v>0.70130000000000003</v>
      </c>
      <c r="F3" s="227">
        <v>0.58030000000000004</v>
      </c>
      <c r="G3" s="227">
        <v>0.58630000000000004</v>
      </c>
      <c r="H3" s="227">
        <v>0</v>
      </c>
      <c r="I3" s="227">
        <v>0.25369999999999998</v>
      </c>
      <c r="J3" s="227">
        <v>1.61E-2</v>
      </c>
      <c r="K3" s="227">
        <v>0</v>
      </c>
      <c r="L3" s="227">
        <v>0.14119999999999999</v>
      </c>
      <c r="M3" s="227">
        <v>2.5999999999999999E-3</v>
      </c>
      <c r="N3" s="225">
        <v>2</v>
      </c>
      <c r="O3" s="225">
        <v>1</v>
      </c>
      <c r="P3" s="225">
        <v>0</v>
      </c>
      <c r="Q3" s="225">
        <v>0</v>
      </c>
    </row>
    <row r="4" spans="1:17">
      <c r="A4" s="224" t="s">
        <v>418</v>
      </c>
      <c r="B4" s="226">
        <v>0.34510416666666666</v>
      </c>
      <c r="C4" s="226">
        <v>0.20109953703703703</v>
      </c>
      <c r="D4" s="225">
        <v>28</v>
      </c>
      <c r="E4" s="227">
        <v>0.67769999999999997</v>
      </c>
      <c r="F4" s="227">
        <v>0.5171</v>
      </c>
      <c r="G4" s="227">
        <v>0.54039999999999999</v>
      </c>
      <c r="H4" s="227">
        <v>1.9699999999999999E-2</v>
      </c>
      <c r="I4" s="227">
        <v>0.26450000000000001</v>
      </c>
      <c r="J4" s="227">
        <v>2.2700000000000001E-2</v>
      </c>
      <c r="K4" s="227">
        <v>0</v>
      </c>
      <c r="L4" s="227">
        <v>0.1487</v>
      </c>
      <c r="M4" s="227">
        <v>4.0000000000000001E-3</v>
      </c>
      <c r="N4" s="225">
        <v>6</v>
      </c>
      <c r="O4" s="225">
        <v>3</v>
      </c>
      <c r="P4" s="225">
        <v>4</v>
      </c>
      <c r="Q4" s="225">
        <v>1</v>
      </c>
    </row>
    <row r="5" spans="1:17">
      <c r="A5" s="224" t="s">
        <v>419</v>
      </c>
      <c r="B5" s="226">
        <v>0.34023148148148147</v>
      </c>
      <c r="C5" s="226">
        <v>0.17884259259259258</v>
      </c>
      <c r="D5" s="225">
        <v>29</v>
      </c>
      <c r="E5" s="227">
        <v>0.72070000000000001</v>
      </c>
      <c r="F5" s="227">
        <v>0.47720000000000001</v>
      </c>
      <c r="G5" s="227">
        <v>0.498</v>
      </c>
      <c r="H5" s="227">
        <v>1E-4</v>
      </c>
      <c r="I5" s="227">
        <v>0.18360000000000001</v>
      </c>
      <c r="J5" s="227">
        <v>2.76E-2</v>
      </c>
      <c r="K5" s="227">
        <v>0</v>
      </c>
      <c r="L5" s="227">
        <v>0.2838</v>
      </c>
      <c r="M5" s="227">
        <v>7.0000000000000001E-3</v>
      </c>
      <c r="N5" s="225">
        <v>1</v>
      </c>
      <c r="O5" s="225">
        <v>2</v>
      </c>
      <c r="P5" s="225">
        <v>0</v>
      </c>
      <c r="Q5" s="225">
        <v>0</v>
      </c>
    </row>
    <row r="6" spans="1:17">
      <c r="A6" s="224" t="s">
        <v>420</v>
      </c>
      <c r="B6" s="226">
        <v>0.30603009259259262</v>
      </c>
      <c r="C6" s="226">
        <v>0.13870370370370369</v>
      </c>
      <c r="D6" s="225">
        <v>93</v>
      </c>
      <c r="E6" s="227">
        <v>0.77990000000000004</v>
      </c>
      <c r="F6" s="227">
        <v>0.43290000000000001</v>
      </c>
      <c r="G6" s="227">
        <v>0.435</v>
      </c>
      <c r="H6" s="227">
        <v>4.0000000000000002E-4</v>
      </c>
      <c r="I6" s="227">
        <v>0.11360000000000001</v>
      </c>
      <c r="J6" s="227">
        <v>1.7899999999999999E-2</v>
      </c>
      <c r="K6" s="227">
        <v>0</v>
      </c>
      <c r="L6" s="227">
        <v>0.41970000000000002</v>
      </c>
      <c r="M6" s="227">
        <v>1.34E-2</v>
      </c>
      <c r="N6" s="225">
        <v>0</v>
      </c>
      <c r="O6" s="225">
        <v>4</v>
      </c>
      <c r="P6" s="225">
        <v>0</v>
      </c>
      <c r="Q6" s="225">
        <v>0</v>
      </c>
    </row>
    <row r="7" spans="1:17">
      <c r="A7" s="224" t="s">
        <v>421</v>
      </c>
      <c r="B7" s="226">
        <v>0.2084375</v>
      </c>
      <c r="C7" s="226">
        <v>0.15369212962962964</v>
      </c>
      <c r="D7" s="225">
        <v>92</v>
      </c>
      <c r="E7" s="227">
        <v>0.77600000000000002</v>
      </c>
      <c r="F7" s="227">
        <v>0.65500000000000003</v>
      </c>
      <c r="G7" s="227">
        <v>0.65759999999999996</v>
      </c>
      <c r="H7" s="227">
        <v>8.6E-3</v>
      </c>
      <c r="I7" s="227">
        <v>0.16270000000000001</v>
      </c>
      <c r="J7" s="227">
        <v>7.1199999999999999E-2</v>
      </c>
      <c r="K7" s="227">
        <v>0</v>
      </c>
      <c r="L7" s="227">
        <v>9.0300000000000005E-2</v>
      </c>
      <c r="M7" s="227">
        <v>9.5999999999999992E-3</v>
      </c>
      <c r="N7" s="225">
        <v>2</v>
      </c>
      <c r="O7" s="225">
        <v>8</v>
      </c>
      <c r="P7" s="225">
        <v>2</v>
      </c>
      <c r="Q7" s="225">
        <v>0</v>
      </c>
    </row>
    <row r="8" spans="1:17">
      <c r="A8" s="224" t="s">
        <v>422</v>
      </c>
      <c r="B8" s="226">
        <v>0.34488425925925925</v>
      </c>
      <c r="C8" s="226">
        <v>0.17553240740740741</v>
      </c>
      <c r="D8" s="225">
        <v>26</v>
      </c>
      <c r="E8" s="227">
        <v>0.75429999999999997</v>
      </c>
      <c r="F8" s="227">
        <v>0.49480000000000002</v>
      </c>
      <c r="G8" s="227">
        <v>0.50070000000000003</v>
      </c>
      <c r="H8" s="227">
        <v>0</v>
      </c>
      <c r="I8" s="227">
        <v>0.15049999999999999</v>
      </c>
      <c r="J8" s="227">
        <v>8.0999999999999996E-3</v>
      </c>
      <c r="K8" s="227">
        <v>0</v>
      </c>
      <c r="L8" s="227">
        <v>0.3256</v>
      </c>
      <c r="M8" s="227">
        <v>1.4999999999999999E-2</v>
      </c>
      <c r="N8" s="225">
        <v>0</v>
      </c>
      <c r="O8" s="225">
        <v>0</v>
      </c>
      <c r="P8" s="225">
        <v>0</v>
      </c>
      <c r="Q8" s="225">
        <v>0</v>
      </c>
    </row>
    <row r="9" spans="1:17">
      <c r="A9" s="224" t="s">
        <v>423</v>
      </c>
      <c r="B9" s="226">
        <v>0.38646990740740739</v>
      </c>
      <c r="C9" s="226">
        <v>0.24453703703703702</v>
      </c>
      <c r="D9" s="225">
        <v>90</v>
      </c>
      <c r="E9" s="227">
        <v>0.72350000000000003</v>
      </c>
      <c r="F9" s="227">
        <v>0.55130000000000001</v>
      </c>
      <c r="G9" s="227">
        <v>0.58179999999999998</v>
      </c>
      <c r="H9" s="227">
        <v>8.6999999999999994E-3</v>
      </c>
      <c r="I9" s="227">
        <v>0.22789999999999999</v>
      </c>
      <c r="J9" s="227">
        <v>4.2200000000000001E-2</v>
      </c>
      <c r="K9" s="227">
        <v>0</v>
      </c>
      <c r="L9" s="227">
        <v>0.13150000000000001</v>
      </c>
      <c r="M9" s="227">
        <v>7.7999999999999996E-3</v>
      </c>
      <c r="N9" s="225">
        <v>0</v>
      </c>
      <c r="O9" s="225">
        <v>8</v>
      </c>
      <c r="P9" s="225">
        <v>3</v>
      </c>
      <c r="Q9" s="225">
        <v>1</v>
      </c>
    </row>
    <row r="10" spans="1:17">
      <c r="A10" s="224" t="s">
        <v>424</v>
      </c>
      <c r="B10" s="226">
        <v>0.34256944444444443</v>
      </c>
      <c r="C10" s="226">
        <v>0.20311342592592593</v>
      </c>
      <c r="D10" s="225">
        <v>89</v>
      </c>
      <c r="E10" s="227">
        <v>0.6825</v>
      </c>
      <c r="F10" s="227">
        <v>0.55210000000000004</v>
      </c>
      <c r="G10" s="227">
        <v>0.57530000000000003</v>
      </c>
      <c r="H10" s="227">
        <v>6.9999999999999999E-4</v>
      </c>
      <c r="I10" s="227">
        <v>0.2656</v>
      </c>
      <c r="J10" s="227">
        <v>1.6899999999999998E-2</v>
      </c>
      <c r="K10" s="227">
        <v>0</v>
      </c>
      <c r="L10" s="227">
        <v>0.1351</v>
      </c>
      <c r="M10" s="227">
        <v>6.4000000000000003E-3</v>
      </c>
      <c r="N10" s="225">
        <v>4</v>
      </c>
      <c r="O10" s="225">
        <v>0</v>
      </c>
      <c r="P10" s="225">
        <v>0</v>
      </c>
      <c r="Q10" s="225">
        <v>0</v>
      </c>
    </row>
    <row r="11" spans="1:17">
      <c r="A11" s="224" t="s">
        <v>425</v>
      </c>
      <c r="B11" s="226">
        <v>0.34769675925925925</v>
      </c>
      <c r="C11" s="226">
        <v>0.20702546296296295</v>
      </c>
      <c r="D11" s="225">
        <v>54</v>
      </c>
      <c r="E11" s="227">
        <v>0.69189999999999996</v>
      </c>
      <c r="F11" s="227">
        <v>0.56869999999999998</v>
      </c>
      <c r="G11" s="227">
        <v>0.58520000000000005</v>
      </c>
      <c r="H11" s="227">
        <v>2.0000000000000001E-4</v>
      </c>
      <c r="I11" s="227">
        <v>0.26119999999999999</v>
      </c>
      <c r="J11" s="227">
        <v>1.01E-2</v>
      </c>
      <c r="K11" s="227">
        <v>0</v>
      </c>
      <c r="L11" s="227">
        <v>0.13969999999999999</v>
      </c>
      <c r="M11" s="227">
        <v>3.7000000000000002E-3</v>
      </c>
      <c r="N11" s="225">
        <v>2</v>
      </c>
      <c r="O11" s="225">
        <v>0</v>
      </c>
      <c r="P11" s="225">
        <v>0</v>
      </c>
      <c r="Q11" s="225">
        <v>0</v>
      </c>
    </row>
    <row r="12" spans="1:17">
      <c r="A12" s="224" t="s">
        <v>426</v>
      </c>
      <c r="B12" s="226">
        <v>0.34068287037037037</v>
      </c>
      <c r="C12" s="226">
        <v>0.20518518518518519</v>
      </c>
      <c r="D12" s="225">
        <v>87</v>
      </c>
      <c r="E12" s="227">
        <v>0.70099999999999996</v>
      </c>
      <c r="F12" s="227">
        <v>0.56040000000000001</v>
      </c>
      <c r="G12" s="227">
        <v>0.56899999999999995</v>
      </c>
      <c r="H12" s="227">
        <v>1.0699999999999999E-2</v>
      </c>
      <c r="I12" s="227">
        <v>0.24990000000000001</v>
      </c>
      <c r="J12" s="227">
        <v>2.2599999999999999E-2</v>
      </c>
      <c r="K12" s="227">
        <v>0</v>
      </c>
      <c r="L12" s="227">
        <v>0.14119999999999999</v>
      </c>
      <c r="M12" s="227">
        <v>6.7000000000000002E-3</v>
      </c>
      <c r="N12" s="225">
        <v>2</v>
      </c>
      <c r="O12" s="225">
        <v>3</v>
      </c>
      <c r="P12" s="225">
        <v>3</v>
      </c>
      <c r="Q12" s="225">
        <v>0</v>
      </c>
    </row>
    <row r="13" spans="1:17">
      <c r="A13" s="224" t="s">
        <v>427</v>
      </c>
      <c r="B13" s="226">
        <v>0.33622685185185186</v>
      </c>
      <c r="C13" s="226">
        <v>0.15812499999999999</v>
      </c>
      <c r="D13" s="225">
        <v>65</v>
      </c>
      <c r="E13" s="227">
        <v>0.71240000000000003</v>
      </c>
      <c r="F13" s="227">
        <v>0.41549999999999998</v>
      </c>
      <c r="G13" s="227">
        <v>0.42580000000000001</v>
      </c>
      <c r="H13" s="227">
        <v>0</v>
      </c>
      <c r="I13" s="227">
        <v>0.1462</v>
      </c>
      <c r="J13" s="227">
        <v>4.4499999999999998E-2</v>
      </c>
      <c r="K13" s="227">
        <v>0</v>
      </c>
      <c r="L13" s="227">
        <v>0.3745</v>
      </c>
      <c r="M13" s="227">
        <v>9.1000000000000004E-3</v>
      </c>
      <c r="N13" s="225">
        <v>0</v>
      </c>
      <c r="O13" s="225">
        <v>8</v>
      </c>
      <c r="P13" s="225">
        <v>0</v>
      </c>
      <c r="Q13" s="225">
        <v>0</v>
      </c>
    </row>
    <row r="14" spans="1:17">
      <c r="A14" s="224" t="s">
        <v>428</v>
      </c>
      <c r="B14" s="236">
        <v>0.34349537037037037</v>
      </c>
      <c r="C14" s="226">
        <v>0.19699074074074074</v>
      </c>
      <c r="D14" s="225">
        <v>85</v>
      </c>
      <c r="E14" s="227">
        <v>0.76959999999999995</v>
      </c>
      <c r="F14" s="227">
        <v>0.50029999999999997</v>
      </c>
      <c r="G14" s="227">
        <v>0.51629999999999998</v>
      </c>
      <c r="H14" s="227">
        <v>1E-4</v>
      </c>
      <c r="I14" s="227">
        <v>0.1663</v>
      </c>
      <c r="J14" s="227">
        <v>5.7099999999999998E-2</v>
      </c>
      <c r="K14" s="227">
        <v>0</v>
      </c>
      <c r="L14" s="227">
        <v>0.25609999999999999</v>
      </c>
      <c r="M14" s="227">
        <v>4.1000000000000003E-3</v>
      </c>
      <c r="N14" s="225">
        <v>1</v>
      </c>
      <c r="O14" s="225">
        <v>9</v>
      </c>
      <c r="P14" s="225">
        <v>0</v>
      </c>
      <c r="Q14" s="225">
        <v>0</v>
      </c>
    </row>
    <row r="15" spans="1:17">
      <c r="A15" s="224" t="s">
        <v>429</v>
      </c>
      <c r="B15" s="226">
        <v>0.33321759259259259</v>
      </c>
      <c r="C15" s="226">
        <v>0.19475694444444444</v>
      </c>
      <c r="D15" s="225">
        <v>65</v>
      </c>
      <c r="E15" s="227">
        <v>0.68469999999999998</v>
      </c>
      <c r="F15" s="227">
        <v>0.51400000000000001</v>
      </c>
      <c r="G15" s="227">
        <v>0.53139999999999998</v>
      </c>
      <c r="H15" s="227">
        <v>8.8000000000000005E-3</v>
      </c>
      <c r="I15" s="227">
        <v>0.26229999999999998</v>
      </c>
      <c r="J15" s="227">
        <v>4.4299999999999999E-2</v>
      </c>
      <c r="K15" s="227">
        <v>0</v>
      </c>
      <c r="L15" s="227">
        <v>0.14710000000000001</v>
      </c>
      <c r="M15" s="227">
        <v>6.1000000000000004E-3</v>
      </c>
      <c r="N15" s="225">
        <v>1</v>
      </c>
      <c r="O15" s="225">
        <v>8</v>
      </c>
      <c r="P15" s="225">
        <v>3</v>
      </c>
      <c r="Q15" s="225">
        <v>1</v>
      </c>
    </row>
    <row r="16" spans="1:17">
      <c r="A16" s="224" t="s">
        <v>430</v>
      </c>
      <c r="B16" s="226">
        <v>0.34512731481481479</v>
      </c>
      <c r="C16" s="226">
        <v>0.2066550925925926</v>
      </c>
      <c r="D16" s="225">
        <v>83</v>
      </c>
      <c r="E16" s="227">
        <v>0.69279999999999997</v>
      </c>
      <c r="F16" s="227">
        <v>0.51060000000000005</v>
      </c>
      <c r="G16" s="227">
        <v>0.53900000000000003</v>
      </c>
      <c r="H16" s="227">
        <v>2.81E-2</v>
      </c>
      <c r="I16" s="227">
        <v>0.23669999999999999</v>
      </c>
      <c r="J16" s="227">
        <v>3.1800000000000002E-2</v>
      </c>
      <c r="K16" s="227">
        <v>0</v>
      </c>
      <c r="L16" s="227">
        <v>0.15490000000000001</v>
      </c>
      <c r="M16" s="227">
        <v>9.5999999999999992E-3</v>
      </c>
      <c r="N16" s="225">
        <v>2</v>
      </c>
      <c r="O16" s="225">
        <v>4</v>
      </c>
      <c r="P16" s="225">
        <v>7</v>
      </c>
      <c r="Q16" s="225">
        <v>0</v>
      </c>
    </row>
    <row r="17" spans="1:17">
      <c r="A17" s="224" t="s">
        <v>431</v>
      </c>
      <c r="B17" s="226">
        <v>0.34531250000000002</v>
      </c>
      <c r="C17" s="226">
        <v>0.17390046296296297</v>
      </c>
      <c r="D17" s="225">
        <v>82</v>
      </c>
      <c r="E17" s="227">
        <v>0.70799999999999996</v>
      </c>
      <c r="F17" s="227">
        <v>0.4829</v>
      </c>
      <c r="G17" s="227">
        <v>0.4854</v>
      </c>
      <c r="H17" s="227">
        <v>2.0000000000000001E-4</v>
      </c>
      <c r="I17" s="227">
        <v>0.20330000000000001</v>
      </c>
      <c r="J17" s="227">
        <v>1.7999999999999999E-2</v>
      </c>
      <c r="K17" s="227">
        <v>0</v>
      </c>
      <c r="L17" s="227">
        <v>0.2903</v>
      </c>
      <c r="M17" s="227">
        <v>2.8999999999999998E-3</v>
      </c>
      <c r="N17" s="225">
        <v>2</v>
      </c>
      <c r="O17" s="225">
        <v>1</v>
      </c>
      <c r="P17" s="225">
        <v>0</v>
      </c>
      <c r="Q17" s="225">
        <v>0</v>
      </c>
    </row>
    <row r="18" spans="1:17">
      <c r="A18" s="224" t="s">
        <v>432</v>
      </c>
      <c r="B18" s="226">
        <v>0.32848379629629632</v>
      </c>
      <c r="C18" s="226">
        <v>0.1973611111111111</v>
      </c>
      <c r="D18" s="225">
        <v>81</v>
      </c>
      <c r="E18" s="227">
        <v>0.6754</v>
      </c>
      <c r="F18" s="227">
        <v>0.5736</v>
      </c>
      <c r="G18" s="227">
        <v>0.58609999999999995</v>
      </c>
      <c r="H18" s="227">
        <v>0</v>
      </c>
      <c r="I18" s="227">
        <v>0.2737</v>
      </c>
      <c r="J18" s="227">
        <v>1.47E-2</v>
      </c>
      <c r="K18" s="227">
        <v>0</v>
      </c>
      <c r="L18" s="227">
        <v>0.11940000000000001</v>
      </c>
      <c r="M18" s="227">
        <v>6.0000000000000001E-3</v>
      </c>
      <c r="N18" s="225">
        <v>1</v>
      </c>
      <c r="O18" s="225">
        <v>1</v>
      </c>
      <c r="P18" s="225">
        <v>0</v>
      </c>
      <c r="Q18" s="225">
        <v>1</v>
      </c>
    </row>
    <row r="19" spans="1:17">
      <c r="A19" s="224" t="s">
        <v>433</v>
      </c>
      <c r="B19" s="226">
        <v>0.34494212962962961</v>
      </c>
      <c r="C19" s="226">
        <v>0.20702546296296295</v>
      </c>
      <c r="D19" s="225">
        <v>80</v>
      </c>
      <c r="E19" s="227">
        <v>0.69850000000000001</v>
      </c>
      <c r="F19" s="227">
        <v>0.56430000000000002</v>
      </c>
      <c r="G19" s="227">
        <v>0.59160000000000001</v>
      </c>
      <c r="H19" s="227">
        <v>0</v>
      </c>
      <c r="I19" s="227">
        <v>0.25480000000000003</v>
      </c>
      <c r="J19" s="227">
        <v>8.6E-3</v>
      </c>
      <c r="K19" s="227">
        <v>0</v>
      </c>
      <c r="L19" s="227">
        <v>0.14119999999999999</v>
      </c>
      <c r="M19" s="227">
        <v>3.8999999999999998E-3</v>
      </c>
      <c r="N19" s="225">
        <v>2</v>
      </c>
      <c r="O19" s="225">
        <v>0</v>
      </c>
      <c r="P19" s="225">
        <v>0</v>
      </c>
      <c r="Q19" s="225">
        <v>0</v>
      </c>
    </row>
    <row r="20" spans="1:17">
      <c r="A20" s="224" t="s">
        <v>434</v>
      </c>
      <c r="B20" s="226">
        <v>0.34810185185185183</v>
      </c>
      <c r="C20" s="226">
        <v>0.18267361111111111</v>
      </c>
      <c r="D20" s="225">
        <v>79</v>
      </c>
      <c r="E20" s="227">
        <v>0.76549999999999996</v>
      </c>
      <c r="F20" s="227">
        <v>0.46970000000000001</v>
      </c>
      <c r="G20" s="227">
        <v>0.47860000000000003</v>
      </c>
      <c r="H20" s="227">
        <v>2.1399999999999999E-2</v>
      </c>
      <c r="I20" s="227">
        <v>0.14940000000000001</v>
      </c>
      <c r="J20" s="227">
        <v>2.4799999999999999E-2</v>
      </c>
      <c r="K20" s="227">
        <v>0</v>
      </c>
      <c r="L20" s="227">
        <v>0.31950000000000001</v>
      </c>
      <c r="M20" s="227">
        <v>6.3E-3</v>
      </c>
      <c r="N20" s="225">
        <v>6</v>
      </c>
      <c r="O20" s="225">
        <v>5</v>
      </c>
      <c r="P20" s="225">
        <v>3</v>
      </c>
      <c r="Q20" s="225">
        <v>0</v>
      </c>
    </row>
    <row r="21" spans="1:17">
      <c r="A21" s="224" t="s">
        <v>435</v>
      </c>
      <c r="B21" s="226">
        <v>0.34574074074074074</v>
      </c>
      <c r="C21" s="226">
        <v>0.20710648148148147</v>
      </c>
      <c r="D21" s="225">
        <v>78</v>
      </c>
      <c r="E21" s="227">
        <v>0.6986</v>
      </c>
      <c r="F21" s="227">
        <v>0.57499999999999996</v>
      </c>
      <c r="G21" s="227">
        <v>0.58209999999999995</v>
      </c>
      <c r="H21" s="227">
        <v>3.8E-3</v>
      </c>
      <c r="I21" s="227">
        <v>0.2477</v>
      </c>
      <c r="J21" s="227">
        <v>1.3100000000000001E-2</v>
      </c>
      <c r="K21" s="227">
        <v>0</v>
      </c>
      <c r="L21" s="227">
        <v>0.14960000000000001</v>
      </c>
      <c r="M21" s="227">
        <v>3.5999999999999999E-3</v>
      </c>
      <c r="N21" s="225">
        <v>4</v>
      </c>
      <c r="O21" s="225">
        <v>1</v>
      </c>
      <c r="P21" s="225">
        <v>1</v>
      </c>
      <c r="Q21" s="225">
        <v>0</v>
      </c>
    </row>
    <row r="22" spans="1:17">
      <c r="A22" s="224" t="s">
        <v>436</v>
      </c>
      <c r="B22" s="226">
        <v>0.34283564814814815</v>
      </c>
      <c r="C22" s="226">
        <v>0.20393518518518519</v>
      </c>
      <c r="D22" s="225">
        <v>77</v>
      </c>
      <c r="E22" s="227">
        <v>0.6875</v>
      </c>
      <c r="F22" s="227">
        <v>0.57950000000000002</v>
      </c>
      <c r="G22" s="227">
        <v>0.58620000000000005</v>
      </c>
      <c r="H22" s="227">
        <v>1E-4</v>
      </c>
      <c r="I22" s="227">
        <v>0.25590000000000002</v>
      </c>
      <c r="J22" s="227">
        <v>8.5000000000000006E-3</v>
      </c>
      <c r="K22" s="227">
        <v>0</v>
      </c>
      <c r="L22" s="227">
        <v>0.13569999999999999</v>
      </c>
      <c r="M22" s="227">
        <v>1.3599999999999999E-2</v>
      </c>
      <c r="N22" s="225">
        <v>2</v>
      </c>
      <c r="O22" s="225">
        <v>0</v>
      </c>
      <c r="P22" s="225">
        <v>0</v>
      </c>
      <c r="Q22" s="225">
        <v>0</v>
      </c>
    </row>
    <row r="23" spans="1:17">
      <c r="A23" s="224" t="s">
        <v>437</v>
      </c>
      <c r="B23" s="226">
        <v>0.34553240740740743</v>
      </c>
      <c r="C23" s="226">
        <v>0.20821759259259259</v>
      </c>
      <c r="D23" s="225">
        <v>76</v>
      </c>
      <c r="E23" s="227">
        <v>0.69910000000000005</v>
      </c>
      <c r="F23" s="227">
        <v>0.58830000000000005</v>
      </c>
      <c r="G23" s="227">
        <v>0.58989999999999998</v>
      </c>
      <c r="H23" s="227">
        <v>1E-4</v>
      </c>
      <c r="I23" s="227">
        <v>0.25469999999999998</v>
      </c>
      <c r="J23" s="227">
        <v>1.26E-2</v>
      </c>
      <c r="K23" s="227">
        <v>0</v>
      </c>
      <c r="L23" s="227">
        <v>0.14019999999999999</v>
      </c>
      <c r="M23" s="227">
        <v>2.5000000000000001E-3</v>
      </c>
      <c r="N23" s="225">
        <v>3</v>
      </c>
      <c r="O23" s="225">
        <v>1</v>
      </c>
      <c r="P23" s="225">
        <v>0</v>
      </c>
      <c r="Q23" s="225">
        <v>0</v>
      </c>
    </row>
    <row r="24" spans="1:17">
      <c r="A24" s="224" t="s">
        <v>438</v>
      </c>
      <c r="B24" s="226">
        <v>0.32064814814814813</v>
      </c>
      <c r="C24" s="226">
        <v>0.17288194444444444</v>
      </c>
      <c r="D24" s="225">
        <v>75</v>
      </c>
      <c r="E24" s="227">
        <v>0.74890000000000001</v>
      </c>
      <c r="F24" s="227">
        <v>0.4627</v>
      </c>
      <c r="G24" s="227">
        <v>0.46529999999999999</v>
      </c>
      <c r="H24" s="227">
        <v>4.4000000000000003E-3</v>
      </c>
      <c r="I24" s="227">
        <v>0.1762</v>
      </c>
      <c r="J24" s="227">
        <v>6.9400000000000003E-2</v>
      </c>
      <c r="K24" s="227">
        <v>0</v>
      </c>
      <c r="L24" s="227">
        <v>0.28220000000000001</v>
      </c>
      <c r="M24" s="227">
        <v>2.3999999999999998E-3</v>
      </c>
      <c r="N24" s="225">
        <v>1</v>
      </c>
      <c r="O24" s="225">
        <v>7</v>
      </c>
      <c r="P24" s="225">
        <v>1</v>
      </c>
      <c r="Q24" s="225">
        <v>0</v>
      </c>
    </row>
    <row r="25" spans="1:17">
      <c r="A25" s="224" t="s">
        <v>439</v>
      </c>
      <c r="B25" s="226">
        <v>0.34032407407407406</v>
      </c>
      <c r="C25" s="226">
        <v>0.17644675925925926</v>
      </c>
      <c r="D25" s="225">
        <v>74</v>
      </c>
      <c r="E25" s="227">
        <v>0.70779999999999998</v>
      </c>
      <c r="F25" s="227">
        <v>0.47799999999999998</v>
      </c>
      <c r="G25" s="227">
        <v>0.49659999999999999</v>
      </c>
      <c r="H25" s="227">
        <v>1.1999999999999999E-3</v>
      </c>
      <c r="I25" s="227">
        <v>0.21</v>
      </c>
      <c r="J25" s="227">
        <v>2.07E-2</v>
      </c>
      <c r="K25" s="227">
        <v>0</v>
      </c>
      <c r="L25" s="227">
        <v>0.26790000000000003</v>
      </c>
      <c r="M25" s="227">
        <v>3.5999999999999999E-3</v>
      </c>
      <c r="N25" s="225">
        <v>1</v>
      </c>
      <c r="O25" s="225">
        <v>2</v>
      </c>
      <c r="P25" s="225">
        <v>0</v>
      </c>
      <c r="Q25" s="225">
        <v>1</v>
      </c>
    </row>
    <row r="26" spans="1:17">
      <c r="A26" s="224" t="s">
        <v>440</v>
      </c>
      <c r="B26" s="226">
        <v>0.34328703703703706</v>
      </c>
      <c r="C26" s="226">
        <v>0.22703703703703704</v>
      </c>
      <c r="D26" s="225">
        <v>73</v>
      </c>
      <c r="E26" s="227">
        <v>0.76300000000000001</v>
      </c>
      <c r="F26" s="227">
        <v>0.5998</v>
      </c>
      <c r="G26" s="227">
        <v>0.6018</v>
      </c>
      <c r="H26" s="227">
        <v>1.49E-2</v>
      </c>
      <c r="I26" s="227">
        <v>0.1711</v>
      </c>
      <c r="J26" s="227">
        <v>4.4600000000000001E-2</v>
      </c>
      <c r="K26" s="227">
        <v>0</v>
      </c>
      <c r="L26" s="227">
        <v>0.14749999999999999</v>
      </c>
      <c r="M26" s="227">
        <v>2.01E-2</v>
      </c>
      <c r="N26" s="225">
        <v>1</v>
      </c>
      <c r="O26" s="225">
        <v>4</v>
      </c>
      <c r="P26" s="225">
        <v>1</v>
      </c>
      <c r="Q26" s="225">
        <v>1</v>
      </c>
    </row>
    <row r="27" spans="1:17">
      <c r="A27" s="224" t="s">
        <v>441</v>
      </c>
      <c r="B27" s="226">
        <v>0.31663194444444442</v>
      </c>
      <c r="C27" s="226">
        <v>0.21199074074074073</v>
      </c>
      <c r="D27" s="225">
        <v>72</v>
      </c>
      <c r="E27" s="227">
        <v>0.7147</v>
      </c>
      <c r="F27" s="227">
        <v>0.65029999999999999</v>
      </c>
      <c r="G27" s="227">
        <v>0.65100000000000002</v>
      </c>
      <c r="H27" s="227">
        <v>0</v>
      </c>
      <c r="I27" s="227">
        <v>0.25790000000000002</v>
      </c>
      <c r="J27" s="227">
        <v>1.8499999999999999E-2</v>
      </c>
      <c r="K27" s="227">
        <v>0</v>
      </c>
      <c r="L27" s="227">
        <v>6.6900000000000001E-2</v>
      </c>
      <c r="M27" s="227">
        <v>5.7000000000000002E-3</v>
      </c>
      <c r="N27" s="225">
        <v>1</v>
      </c>
      <c r="O27" s="225">
        <v>3</v>
      </c>
      <c r="P27" s="225">
        <v>0</v>
      </c>
      <c r="Q27" s="225">
        <v>0</v>
      </c>
    </row>
    <row r="28" spans="1:17">
      <c r="A28" s="224" t="s">
        <v>442</v>
      </c>
      <c r="B28" s="226">
        <v>0.34512731481481479</v>
      </c>
      <c r="C28" s="226">
        <v>0.20607638888888888</v>
      </c>
      <c r="D28" s="225">
        <v>71</v>
      </c>
      <c r="E28" s="227">
        <v>0.69469999999999998</v>
      </c>
      <c r="F28" s="227">
        <v>0.55000000000000004</v>
      </c>
      <c r="G28" s="227">
        <v>0.57440000000000002</v>
      </c>
      <c r="H28" s="227">
        <v>1.23E-2</v>
      </c>
      <c r="I28" s="227">
        <v>0.25280000000000002</v>
      </c>
      <c r="J28" s="227">
        <v>1.04E-2</v>
      </c>
      <c r="K28" s="227">
        <v>0</v>
      </c>
      <c r="L28" s="227">
        <v>0.14419999999999999</v>
      </c>
      <c r="M28" s="227">
        <v>5.8999999999999999E-3</v>
      </c>
      <c r="N28" s="225">
        <v>1</v>
      </c>
      <c r="O28" s="225">
        <v>0</v>
      </c>
      <c r="P28" s="225">
        <v>5</v>
      </c>
      <c r="Q28" s="225">
        <v>0</v>
      </c>
    </row>
    <row r="29" spans="1:17">
      <c r="A29" s="224" t="s">
        <v>443</v>
      </c>
      <c r="B29" s="226">
        <v>0.34297453703703706</v>
      </c>
      <c r="C29" s="226">
        <v>0.21273148148148149</v>
      </c>
      <c r="D29" s="225">
        <v>70</v>
      </c>
      <c r="E29" s="227">
        <v>0.72209999999999996</v>
      </c>
      <c r="F29" s="227">
        <v>0.51329999999999998</v>
      </c>
      <c r="G29" s="227">
        <v>0.54390000000000005</v>
      </c>
      <c r="H29" s="227">
        <v>7.9000000000000008E-3</v>
      </c>
      <c r="I29" s="227">
        <v>0.23200000000000001</v>
      </c>
      <c r="J29" s="227">
        <v>6.8400000000000002E-2</v>
      </c>
      <c r="K29" s="227">
        <v>0</v>
      </c>
      <c r="L29" s="227">
        <v>0.14180000000000001</v>
      </c>
      <c r="M29" s="227">
        <v>5.8999999999999999E-3</v>
      </c>
      <c r="N29" s="225">
        <v>0</v>
      </c>
      <c r="O29" s="225">
        <v>11</v>
      </c>
      <c r="P29" s="225">
        <v>1</v>
      </c>
      <c r="Q29" s="225">
        <v>1</v>
      </c>
    </row>
    <row r="30" spans="1:17">
      <c r="A30" s="224" t="s">
        <v>444</v>
      </c>
      <c r="B30" s="226">
        <v>0.34387731481481482</v>
      </c>
      <c r="C30" s="226">
        <v>0.17480324074074075</v>
      </c>
      <c r="D30" s="225">
        <v>69</v>
      </c>
      <c r="E30" s="227">
        <v>0.76100000000000001</v>
      </c>
      <c r="F30" s="227">
        <v>0.436</v>
      </c>
      <c r="G30" s="227">
        <v>0.44979999999999998</v>
      </c>
      <c r="H30" s="227">
        <v>4.3E-3</v>
      </c>
      <c r="I30" s="227">
        <v>0.15679999999999999</v>
      </c>
      <c r="J30" s="227">
        <v>5.4199999999999998E-2</v>
      </c>
      <c r="K30" s="227">
        <v>0</v>
      </c>
      <c r="L30" s="227">
        <v>0.33289999999999997</v>
      </c>
      <c r="M30" s="227">
        <v>1.9E-3</v>
      </c>
      <c r="N30" s="225">
        <v>1</v>
      </c>
      <c r="O30" s="225">
        <v>11</v>
      </c>
      <c r="P30" s="225">
        <v>2</v>
      </c>
      <c r="Q30" s="225">
        <v>0</v>
      </c>
    </row>
    <row r="31" spans="1:17">
      <c r="A31" s="224" t="s">
        <v>445</v>
      </c>
      <c r="B31" s="226">
        <v>0.31069444444444444</v>
      </c>
      <c r="C31" s="226">
        <v>0.1912962962962963</v>
      </c>
      <c r="D31" s="225">
        <v>68</v>
      </c>
      <c r="E31" s="227">
        <v>0.7036</v>
      </c>
      <c r="F31" s="227">
        <v>0.52949999999999997</v>
      </c>
      <c r="G31" s="227">
        <v>0.54120000000000001</v>
      </c>
      <c r="H31" s="227">
        <v>1.8100000000000002E-2</v>
      </c>
      <c r="I31" s="227">
        <v>0.19869999999999999</v>
      </c>
      <c r="J31" s="227">
        <v>5.6399999999999999E-2</v>
      </c>
      <c r="K31" s="227">
        <v>0</v>
      </c>
      <c r="L31" s="227">
        <v>0.17960000000000001</v>
      </c>
      <c r="M31" s="227">
        <v>6.0000000000000001E-3</v>
      </c>
      <c r="N31" s="225">
        <v>5</v>
      </c>
      <c r="O31" s="225">
        <v>5</v>
      </c>
      <c r="P31" s="225">
        <v>3</v>
      </c>
      <c r="Q31" s="225">
        <v>1</v>
      </c>
    </row>
    <row r="32" spans="1:17">
      <c r="A32" s="224" t="s">
        <v>446</v>
      </c>
      <c r="B32" s="226">
        <v>0.33329861111111109</v>
      </c>
      <c r="C32" s="226">
        <v>0.21824074074074074</v>
      </c>
      <c r="D32" s="225">
        <v>67</v>
      </c>
      <c r="E32" s="227">
        <v>0.76490000000000002</v>
      </c>
      <c r="F32" s="227">
        <v>0.5645</v>
      </c>
      <c r="G32" s="227">
        <v>0.58660000000000001</v>
      </c>
      <c r="H32" s="227">
        <v>3.5999999999999999E-3</v>
      </c>
      <c r="I32" s="227">
        <v>0.18920000000000001</v>
      </c>
      <c r="J32" s="227">
        <v>6.4600000000000005E-2</v>
      </c>
      <c r="K32" s="227">
        <v>0</v>
      </c>
      <c r="L32" s="227">
        <v>0.14430000000000001</v>
      </c>
      <c r="M32" s="227">
        <v>1.17E-2</v>
      </c>
      <c r="N32" s="225">
        <v>0</v>
      </c>
      <c r="O32" s="225">
        <v>9</v>
      </c>
      <c r="P32" s="225">
        <v>1</v>
      </c>
      <c r="Q32" s="225">
        <v>1</v>
      </c>
    </row>
    <row r="33" spans="1:17">
      <c r="A33" s="224" t="s">
        <v>447</v>
      </c>
      <c r="B33" s="226">
        <v>0.34564814814814815</v>
      </c>
      <c r="C33" s="226">
        <v>0.21184027777777778</v>
      </c>
      <c r="D33" s="225">
        <v>66</v>
      </c>
      <c r="E33" s="227">
        <v>0.82689999999999997</v>
      </c>
      <c r="F33" s="227">
        <v>0.49790000000000001</v>
      </c>
      <c r="G33" s="227">
        <v>0.51359999999999995</v>
      </c>
      <c r="H33" s="227">
        <v>3.3E-3</v>
      </c>
      <c r="I33" s="227">
        <v>0.1237</v>
      </c>
      <c r="J33" s="227">
        <v>9.6000000000000002E-2</v>
      </c>
      <c r="K33" s="227">
        <v>0</v>
      </c>
      <c r="L33" s="227">
        <v>0.2596</v>
      </c>
      <c r="M33" s="227">
        <v>3.8E-3</v>
      </c>
      <c r="N33" s="225">
        <v>1</v>
      </c>
      <c r="O33" s="225">
        <v>15</v>
      </c>
      <c r="P33" s="225">
        <v>1</v>
      </c>
      <c r="Q33" s="225">
        <v>0</v>
      </c>
    </row>
    <row r="34" spans="1:17">
      <c r="A34" s="224" t="s">
        <v>448</v>
      </c>
      <c r="B34" s="226">
        <v>0.34664351851851855</v>
      </c>
      <c r="C34" s="226">
        <v>0.20781250000000001</v>
      </c>
      <c r="D34" s="225">
        <v>65</v>
      </c>
      <c r="E34" s="227">
        <v>0.69530000000000003</v>
      </c>
      <c r="F34" s="227">
        <v>0.56269999999999998</v>
      </c>
      <c r="G34" s="227">
        <v>0.57620000000000005</v>
      </c>
      <c r="H34" s="227">
        <v>1.4E-3</v>
      </c>
      <c r="I34" s="227">
        <v>0.2397</v>
      </c>
      <c r="J34" s="227">
        <v>2.1899999999999999E-2</v>
      </c>
      <c r="K34" s="227">
        <v>0</v>
      </c>
      <c r="L34" s="227">
        <v>0.13830000000000001</v>
      </c>
      <c r="M34" s="227">
        <v>2.2499999999999999E-2</v>
      </c>
      <c r="N34" s="225">
        <v>2</v>
      </c>
      <c r="O34" s="225">
        <v>1</v>
      </c>
      <c r="P34" s="225">
        <v>0</v>
      </c>
      <c r="Q34" s="225">
        <v>0</v>
      </c>
    </row>
    <row r="35" spans="1:17">
      <c r="A35" s="224" t="s">
        <v>449</v>
      </c>
      <c r="B35" s="226">
        <v>0.34471064814814817</v>
      </c>
      <c r="C35" s="226">
        <v>0.20981481481481482</v>
      </c>
      <c r="D35" s="225">
        <v>64</v>
      </c>
      <c r="E35" s="227">
        <v>0.70569999999999999</v>
      </c>
      <c r="F35" s="227">
        <v>0.57679999999999998</v>
      </c>
      <c r="G35" s="227">
        <v>0.58599999999999997</v>
      </c>
      <c r="H35" s="227">
        <v>1E-4</v>
      </c>
      <c r="I35" s="227">
        <v>0.2457</v>
      </c>
      <c r="J35" s="227">
        <v>2.2599999999999999E-2</v>
      </c>
      <c r="K35" s="227">
        <v>0</v>
      </c>
      <c r="L35" s="227">
        <v>0.1409</v>
      </c>
      <c r="M35" s="227">
        <v>4.7000000000000002E-3</v>
      </c>
      <c r="N35" s="225">
        <v>2</v>
      </c>
      <c r="O35" s="225">
        <v>2</v>
      </c>
      <c r="P35" s="225">
        <v>0</v>
      </c>
      <c r="Q35" s="225">
        <v>0</v>
      </c>
    </row>
    <row r="36" spans="1:17">
      <c r="A36" s="224" t="s">
        <v>450</v>
      </c>
      <c r="B36" s="226">
        <v>0.31923611111111111</v>
      </c>
      <c r="C36" s="226">
        <v>0.18953703703703703</v>
      </c>
      <c r="D36" s="225">
        <v>63</v>
      </c>
      <c r="E36" s="227">
        <v>0.7288</v>
      </c>
      <c r="F36" s="227">
        <v>0.55730000000000002</v>
      </c>
      <c r="G36" s="227">
        <v>0.5776</v>
      </c>
      <c r="H36" s="227">
        <v>6.9999999999999999E-4</v>
      </c>
      <c r="I36" s="227">
        <v>0.20380000000000001</v>
      </c>
      <c r="J36" s="227">
        <v>1.54E-2</v>
      </c>
      <c r="K36" s="227">
        <v>0</v>
      </c>
      <c r="L36" s="227">
        <v>0.1918</v>
      </c>
      <c r="M36" s="227">
        <v>1.0699999999999999E-2</v>
      </c>
      <c r="N36" s="225">
        <v>2</v>
      </c>
      <c r="O36" s="225">
        <v>1</v>
      </c>
      <c r="P36" s="225">
        <v>0</v>
      </c>
      <c r="Q36" s="225">
        <v>0</v>
      </c>
    </row>
    <row r="37" spans="1:17">
      <c r="A37" s="224" t="s">
        <v>451</v>
      </c>
      <c r="B37" s="226">
        <v>0.34128472222222223</v>
      </c>
      <c r="C37" s="226">
        <v>0.17200231481481482</v>
      </c>
      <c r="D37" s="225">
        <v>62</v>
      </c>
      <c r="E37" s="227">
        <v>0.73570000000000002</v>
      </c>
      <c r="F37" s="227">
        <v>0.47589999999999999</v>
      </c>
      <c r="G37" s="227">
        <v>0.48970000000000002</v>
      </c>
      <c r="H37" s="227">
        <v>5.9999999999999995E-4</v>
      </c>
      <c r="I37" s="227">
        <v>0.17599999999999999</v>
      </c>
      <c r="J37" s="227">
        <v>1.37E-2</v>
      </c>
      <c r="K37" s="227">
        <v>0</v>
      </c>
      <c r="L37" s="227">
        <v>0.31580000000000003</v>
      </c>
      <c r="M37" s="227">
        <v>4.1999999999999997E-3</v>
      </c>
      <c r="N37" s="225">
        <v>1</v>
      </c>
      <c r="O37" s="225">
        <v>1</v>
      </c>
      <c r="P37" s="225">
        <v>0</v>
      </c>
      <c r="Q37" s="225">
        <v>0</v>
      </c>
    </row>
    <row r="38" spans="1:17">
      <c r="A38" s="224" t="s">
        <v>452</v>
      </c>
      <c r="B38" s="226">
        <v>0.34012731481481484</v>
      </c>
      <c r="C38" s="226">
        <v>0.20243055555555556</v>
      </c>
      <c r="D38" s="225">
        <v>61</v>
      </c>
      <c r="E38" s="227">
        <v>0.69340000000000002</v>
      </c>
      <c r="F38" s="227">
        <v>0.55640000000000001</v>
      </c>
      <c r="G38" s="227">
        <v>0.57099999999999995</v>
      </c>
      <c r="H38" s="227">
        <v>0</v>
      </c>
      <c r="I38" s="227">
        <v>0.25919999999999999</v>
      </c>
      <c r="J38" s="227">
        <v>2.41E-2</v>
      </c>
      <c r="K38" s="227">
        <v>0</v>
      </c>
      <c r="L38" s="227">
        <v>0.1421</v>
      </c>
      <c r="M38" s="227">
        <v>3.5000000000000001E-3</v>
      </c>
      <c r="N38" s="225">
        <v>2</v>
      </c>
      <c r="O38" s="225">
        <v>3</v>
      </c>
      <c r="P38" s="225">
        <v>0</v>
      </c>
      <c r="Q38" s="225">
        <v>0</v>
      </c>
    </row>
    <row r="39" spans="1:17">
      <c r="A39" s="224" t="s">
        <v>453</v>
      </c>
      <c r="B39" s="226">
        <v>0.3442824074074074</v>
      </c>
      <c r="C39" s="226">
        <v>0.20569444444444446</v>
      </c>
      <c r="D39" s="225">
        <v>60</v>
      </c>
      <c r="E39" s="227">
        <v>0.69530000000000003</v>
      </c>
      <c r="F39" s="227">
        <v>0.52800000000000002</v>
      </c>
      <c r="G39" s="227">
        <v>0.54339999999999999</v>
      </c>
      <c r="H39" s="227">
        <v>3.5000000000000001E-3</v>
      </c>
      <c r="I39" s="227">
        <v>0.25669999999999998</v>
      </c>
      <c r="J39" s="227">
        <v>5.0500000000000003E-2</v>
      </c>
      <c r="K39" s="227">
        <v>0</v>
      </c>
      <c r="L39" s="227">
        <v>0.14269999999999999</v>
      </c>
      <c r="M39" s="227">
        <v>3.2000000000000002E-3</v>
      </c>
      <c r="N39" s="225">
        <v>1</v>
      </c>
      <c r="O39" s="225">
        <v>11</v>
      </c>
      <c r="P39" s="225">
        <v>1</v>
      </c>
      <c r="Q39" s="225">
        <v>0</v>
      </c>
    </row>
    <row r="40" spans="1:17">
      <c r="A40" s="224" t="s">
        <v>454</v>
      </c>
      <c r="B40" s="226">
        <v>0.3439699074074074</v>
      </c>
      <c r="C40" s="226">
        <v>0.20620370370370369</v>
      </c>
      <c r="D40" s="225">
        <v>59</v>
      </c>
      <c r="E40" s="227">
        <v>0.69740000000000002</v>
      </c>
      <c r="F40" s="227">
        <v>0.56499999999999995</v>
      </c>
      <c r="G40" s="227">
        <v>0.57509999999999994</v>
      </c>
      <c r="H40" s="227">
        <v>1E-4</v>
      </c>
      <c r="I40" s="227">
        <v>0.25440000000000002</v>
      </c>
      <c r="J40" s="227">
        <v>2.4299999999999999E-2</v>
      </c>
      <c r="K40" s="227">
        <v>0</v>
      </c>
      <c r="L40" s="227">
        <v>0.14219999999999999</v>
      </c>
      <c r="M40" s="227">
        <v>3.8999999999999998E-3</v>
      </c>
      <c r="N40" s="225">
        <v>1</v>
      </c>
      <c r="O40" s="225">
        <v>4</v>
      </c>
      <c r="P40" s="225">
        <v>0</v>
      </c>
      <c r="Q40" s="225">
        <v>0</v>
      </c>
    </row>
    <row r="41" spans="1:17">
      <c r="A41" s="224" t="s">
        <v>455</v>
      </c>
      <c r="B41" s="226">
        <v>0.34541666666666665</v>
      </c>
      <c r="C41" s="226">
        <v>0.22590277777777779</v>
      </c>
      <c r="D41" s="225">
        <v>58</v>
      </c>
      <c r="E41" s="227">
        <v>0.76119999999999999</v>
      </c>
      <c r="F41" s="227">
        <v>0.48580000000000001</v>
      </c>
      <c r="G41" s="227">
        <v>0.51600000000000001</v>
      </c>
      <c r="H41" s="227">
        <v>1E-3</v>
      </c>
      <c r="I41" s="227">
        <v>0.2016</v>
      </c>
      <c r="J41" s="227">
        <v>0.13700000000000001</v>
      </c>
      <c r="K41" s="227">
        <v>0</v>
      </c>
      <c r="L41" s="227">
        <v>0.1411</v>
      </c>
      <c r="M41" s="227">
        <v>3.3E-3</v>
      </c>
      <c r="N41" s="225">
        <v>1</v>
      </c>
      <c r="O41" s="225">
        <v>3</v>
      </c>
      <c r="P41" s="225">
        <v>0</v>
      </c>
      <c r="Q41" s="225">
        <v>1</v>
      </c>
    </row>
    <row r="42" spans="1:17">
      <c r="A42" s="224" t="s">
        <v>456</v>
      </c>
      <c r="B42" s="226">
        <v>0.34445601851851854</v>
      </c>
      <c r="C42" s="226">
        <v>0.20725694444444445</v>
      </c>
      <c r="D42" s="225">
        <v>57</v>
      </c>
      <c r="E42" s="227">
        <v>0.69499999999999995</v>
      </c>
      <c r="F42" s="227">
        <v>0.57230000000000003</v>
      </c>
      <c r="G42" s="227">
        <v>0.58420000000000005</v>
      </c>
      <c r="H42" s="227">
        <v>0</v>
      </c>
      <c r="I42" s="227">
        <v>0.24079999999999999</v>
      </c>
      <c r="J42" s="227">
        <v>1.7500000000000002E-2</v>
      </c>
      <c r="K42" s="227">
        <v>0</v>
      </c>
      <c r="L42" s="227">
        <v>0.13639999999999999</v>
      </c>
      <c r="M42" s="227">
        <v>2.1100000000000001E-2</v>
      </c>
      <c r="N42" s="225">
        <v>3</v>
      </c>
      <c r="O42" s="225">
        <v>1</v>
      </c>
      <c r="P42" s="225">
        <v>0</v>
      </c>
      <c r="Q42" s="225">
        <v>0</v>
      </c>
    </row>
    <row r="43" spans="1:17">
      <c r="A43" s="224" t="s">
        <v>457</v>
      </c>
      <c r="B43" s="226">
        <v>0.3334259259259259</v>
      </c>
      <c r="C43" s="226">
        <v>0.16271990740740741</v>
      </c>
      <c r="D43" s="225">
        <v>56</v>
      </c>
      <c r="E43" s="227">
        <v>0.6966</v>
      </c>
      <c r="F43" s="227">
        <v>0.46539999999999998</v>
      </c>
      <c r="G43" s="227">
        <v>0.47489999999999999</v>
      </c>
      <c r="H43" s="227">
        <v>3.0000000000000001E-3</v>
      </c>
      <c r="I43" s="227">
        <v>0.20760000000000001</v>
      </c>
      <c r="J43" s="227">
        <v>1.01E-2</v>
      </c>
      <c r="K43" s="227">
        <v>0</v>
      </c>
      <c r="L43" s="227">
        <v>0.30180000000000001</v>
      </c>
      <c r="M43" s="227">
        <v>2.5999999999999999E-3</v>
      </c>
      <c r="N43" s="225">
        <v>1</v>
      </c>
      <c r="O43" s="225">
        <v>1</v>
      </c>
      <c r="P43" s="225">
        <v>1</v>
      </c>
      <c r="Q43" s="225">
        <v>2</v>
      </c>
    </row>
    <row r="44" spans="1:17">
      <c r="A44" s="224" t="s">
        <v>458</v>
      </c>
      <c r="B44" s="226">
        <v>0.20945601851851853</v>
      </c>
      <c r="C44" s="226">
        <v>0.13993055555555556</v>
      </c>
      <c r="D44" s="225">
        <v>55</v>
      </c>
      <c r="E44" s="227">
        <v>0.70269999999999999</v>
      </c>
      <c r="F44" s="227">
        <v>0.64380000000000004</v>
      </c>
      <c r="G44" s="227">
        <v>0.65600000000000003</v>
      </c>
      <c r="H44" s="227">
        <v>2.0000000000000001E-4</v>
      </c>
      <c r="I44" s="227">
        <v>0.27950000000000003</v>
      </c>
      <c r="J44" s="227">
        <v>1.18E-2</v>
      </c>
      <c r="K44" s="227">
        <v>0</v>
      </c>
      <c r="L44" s="227">
        <v>4.9700000000000001E-2</v>
      </c>
      <c r="M44" s="227">
        <v>2.7000000000000001E-3</v>
      </c>
      <c r="N44" s="225">
        <v>1</v>
      </c>
      <c r="O44" s="225">
        <v>0</v>
      </c>
      <c r="P44" s="225">
        <v>0</v>
      </c>
      <c r="Q44" s="225">
        <v>0</v>
      </c>
    </row>
    <row r="45" spans="1:17">
      <c r="A45" s="224" t="s">
        <v>459</v>
      </c>
      <c r="B45" s="226">
        <v>0.35192129629629632</v>
      </c>
      <c r="C45" s="226">
        <v>0.22140046296296295</v>
      </c>
      <c r="D45" s="225">
        <v>54</v>
      </c>
      <c r="E45" s="227">
        <v>0.72360000000000002</v>
      </c>
      <c r="F45" s="227">
        <v>0.57350000000000001</v>
      </c>
      <c r="G45" s="227">
        <v>0.58709999999999996</v>
      </c>
      <c r="H45" s="227">
        <v>8.9999999999999998E-4</v>
      </c>
      <c r="I45" s="227">
        <v>0.23119999999999999</v>
      </c>
      <c r="J45" s="227">
        <v>4.1099999999999998E-2</v>
      </c>
      <c r="K45" s="227">
        <v>0</v>
      </c>
      <c r="L45" s="227">
        <v>0.1376</v>
      </c>
      <c r="M45" s="227">
        <v>2E-3</v>
      </c>
      <c r="N45" s="225">
        <v>7</v>
      </c>
      <c r="O45" s="225">
        <v>6</v>
      </c>
      <c r="P45" s="225">
        <v>0</v>
      </c>
      <c r="Q45" s="225">
        <v>0</v>
      </c>
    </row>
    <row r="46" spans="1:17">
      <c r="A46" s="224" t="s">
        <v>460</v>
      </c>
      <c r="B46" s="226">
        <v>0.32876157407407408</v>
      </c>
      <c r="C46" s="226">
        <v>0.22660879629629629</v>
      </c>
      <c r="D46" s="225">
        <v>53</v>
      </c>
      <c r="E46" s="227">
        <v>0.78</v>
      </c>
      <c r="F46" s="227">
        <v>0.6472</v>
      </c>
      <c r="G46" s="227">
        <v>0.67100000000000004</v>
      </c>
      <c r="H46" s="227">
        <v>2.0999999999999999E-3</v>
      </c>
      <c r="I46" s="227">
        <v>0.17810000000000001</v>
      </c>
      <c r="J46" s="227">
        <v>1.61E-2</v>
      </c>
      <c r="K46" s="227">
        <v>0</v>
      </c>
      <c r="L46" s="227">
        <v>0.11899999999999999</v>
      </c>
      <c r="M46" s="227">
        <v>1.38E-2</v>
      </c>
      <c r="N46" s="225">
        <v>3</v>
      </c>
      <c r="O46" s="225">
        <v>2</v>
      </c>
      <c r="P46" s="225">
        <v>1</v>
      </c>
      <c r="Q46" s="225">
        <v>2</v>
      </c>
    </row>
    <row r="47" spans="1:17">
      <c r="A47" s="224" t="s">
        <v>461</v>
      </c>
      <c r="B47" s="226">
        <v>0.33435185185185184</v>
      </c>
      <c r="C47" s="226">
        <v>0.17586805555555557</v>
      </c>
      <c r="D47" s="225">
        <v>52</v>
      </c>
      <c r="E47" s="227">
        <v>0.72040000000000004</v>
      </c>
      <c r="F47" s="227">
        <v>0.50439999999999996</v>
      </c>
      <c r="G47" s="227">
        <v>0.51129999999999998</v>
      </c>
      <c r="H47" s="227">
        <v>6.0000000000000001E-3</v>
      </c>
      <c r="I47" s="227">
        <v>0.1978</v>
      </c>
      <c r="J47" s="227">
        <v>8.6999999999999994E-3</v>
      </c>
      <c r="K47" s="227">
        <v>0</v>
      </c>
      <c r="L47" s="227">
        <v>0.27079999999999999</v>
      </c>
      <c r="M47" s="227">
        <v>5.4000000000000003E-3</v>
      </c>
      <c r="N47" s="225">
        <v>3</v>
      </c>
      <c r="O47" s="225">
        <v>0</v>
      </c>
      <c r="P47" s="225">
        <v>1</v>
      </c>
      <c r="Q47" s="225">
        <v>0</v>
      </c>
    </row>
    <row r="48" spans="1:17">
      <c r="A48" s="224" t="s">
        <v>462</v>
      </c>
      <c r="B48" s="226">
        <v>0.34831018518518519</v>
      </c>
      <c r="C48" s="226">
        <v>0.21436342592592592</v>
      </c>
      <c r="D48" s="225">
        <v>51</v>
      </c>
      <c r="E48" s="227">
        <v>0.71389999999999998</v>
      </c>
      <c r="F48" s="227">
        <v>0.55279999999999996</v>
      </c>
      <c r="G48" s="227">
        <v>0.56730000000000003</v>
      </c>
      <c r="H48" s="227">
        <v>5.0000000000000001E-3</v>
      </c>
      <c r="I48" s="227">
        <v>0.23930000000000001</v>
      </c>
      <c r="J48" s="227">
        <v>4.3099999999999999E-2</v>
      </c>
      <c r="K48" s="227">
        <v>0</v>
      </c>
      <c r="L48" s="227">
        <v>0.13850000000000001</v>
      </c>
      <c r="M48" s="227">
        <v>6.7000000000000002E-3</v>
      </c>
      <c r="N48" s="225">
        <v>5</v>
      </c>
      <c r="O48" s="225">
        <v>8</v>
      </c>
      <c r="P48" s="225">
        <v>2</v>
      </c>
      <c r="Q48" s="225">
        <v>0</v>
      </c>
    </row>
    <row r="49" spans="1:17">
      <c r="A49" s="224" t="s">
        <v>463</v>
      </c>
      <c r="B49" s="226">
        <v>0.34407407407407409</v>
      </c>
      <c r="C49" s="226">
        <v>0.19798611111111111</v>
      </c>
      <c r="D49" s="225">
        <v>50</v>
      </c>
      <c r="E49" s="227">
        <v>0.66949999999999998</v>
      </c>
      <c r="F49" s="227">
        <v>0.55489999999999995</v>
      </c>
      <c r="G49" s="227">
        <v>0.56530000000000002</v>
      </c>
      <c r="H49" s="227">
        <v>2.0000000000000001E-4</v>
      </c>
      <c r="I49" s="227">
        <v>0.28079999999999999</v>
      </c>
      <c r="J49" s="227">
        <v>9.9000000000000008E-3</v>
      </c>
      <c r="K49" s="227">
        <v>0</v>
      </c>
      <c r="L49" s="227">
        <v>0.14080000000000001</v>
      </c>
      <c r="M49" s="227">
        <v>3.0000000000000001E-3</v>
      </c>
      <c r="N49" s="225">
        <v>3</v>
      </c>
      <c r="O49" s="225">
        <v>0</v>
      </c>
      <c r="P49" s="225">
        <v>0</v>
      </c>
      <c r="Q49" s="225">
        <v>0</v>
      </c>
    </row>
    <row r="50" spans="1:17">
      <c r="A50" s="224" t="s">
        <v>464</v>
      </c>
      <c r="B50" s="226">
        <v>0.33285879629629628</v>
      </c>
      <c r="C50" s="226">
        <v>0.19598379629629631</v>
      </c>
      <c r="D50" s="225">
        <v>49</v>
      </c>
      <c r="E50" s="227">
        <v>0.6895</v>
      </c>
      <c r="F50" s="227">
        <v>0.55220000000000002</v>
      </c>
      <c r="G50" s="227">
        <v>0.55659999999999998</v>
      </c>
      <c r="H50" s="227">
        <v>0</v>
      </c>
      <c r="I50" s="227">
        <v>0.26219999999999999</v>
      </c>
      <c r="J50" s="227">
        <v>3.2199999999999999E-2</v>
      </c>
      <c r="K50" s="227">
        <v>0</v>
      </c>
      <c r="L50" s="227">
        <v>0.1464</v>
      </c>
      <c r="M50" s="227">
        <v>2.5000000000000001E-3</v>
      </c>
      <c r="N50" s="225">
        <v>0</v>
      </c>
      <c r="O50" s="225">
        <v>3</v>
      </c>
      <c r="P50" s="225">
        <v>0</v>
      </c>
      <c r="Q50" s="225">
        <v>2</v>
      </c>
    </row>
    <row r="51" spans="1:17">
      <c r="A51" s="224" t="s">
        <v>465</v>
      </c>
      <c r="B51" s="226">
        <v>0.20570601851851852</v>
      </c>
      <c r="C51" s="226">
        <v>0.13252314814814814</v>
      </c>
      <c r="D51" s="225">
        <v>48</v>
      </c>
      <c r="E51" s="227">
        <v>0.67910000000000004</v>
      </c>
      <c r="F51" s="227">
        <v>0.58819999999999995</v>
      </c>
      <c r="G51" s="227">
        <v>0.61209999999999998</v>
      </c>
      <c r="H51" s="227">
        <v>1.12E-2</v>
      </c>
      <c r="I51" s="227">
        <v>0.28639999999999999</v>
      </c>
      <c r="J51" s="227">
        <v>2.1000000000000001E-2</v>
      </c>
      <c r="K51" s="227">
        <v>0</v>
      </c>
      <c r="L51" s="227">
        <v>6.13E-2</v>
      </c>
      <c r="M51" s="227">
        <v>8.0000000000000002E-3</v>
      </c>
      <c r="N51" s="225">
        <v>2</v>
      </c>
      <c r="O51" s="225">
        <v>2</v>
      </c>
      <c r="P51" s="225">
        <v>3</v>
      </c>
      <c r="Q51" s="225">
        <v>0</v>
      </c>
    </row>
    <row r="52" spans="1:17">
      <c r="A52" s="224" t="s">
        <v>466</v>
      </c>
      <c r="B52" s="226">
        <v>0.32318287037037036</v>
      </c>
      <c r="C52" s="226">
        <v>0.19381944444444443</v>
      </c>
      <c r="D52" s="225">
        <v>47</v>
      </c>
      <c r="E52" s="227">
        <v>0.6734</v>
      </c>
      <c r="F52" s="227">
        <v>0.55530000000000002</v>
      </c>
      <c r="G52" s="227">
        <v>0.56330000000000002</v>
      </c>
      <c r="H52" s="227">
        <v>5.0000000000000001E-4</v>
      </c>
      <c r="I52" s="227">
        <v>0.23519999999999999</v>
      </c>
      <c r="J52" s="227">
        <v>3.5900000000000001E-2</v>
      </c>
      <c r="K52" s="227">
        <v>0</v>
      </c>
      <c r="L52" s="227">
        <v>0.16059999999999999</v>
      </c>
      <c r="M52" s="227">
        <v>4.4999999999999997E-3</v>
      </c>
      <c r="N52" s="225">
        <v>1</v>
      </c>
      <c r="O52" s="225">
        <v>6</v>
      </c>
      <c r="P52" s="225">
        <v>0</v>
      </c>
      <c r="Q52" s="225">
        <v>0</v>
      </c>
    </row>
    <row r="53" spans="1:17">
      <c r="A53" s="224" t="s">
        <v>467</v>
      </c>
      <c r="B53" s="226">
        <v>0.33348379629629632</v>
      </c>
      <c r="C53" s="226">
        <v>0.19890046296296296</v>
      </c>
      <c r="D53" s="225">
        <v>46</v>
      </c>
      <c r="E53" s="227">
        <v>0.69810000000000005</v>
      </c>
      <c r="F53" s="227">
        <v>0.55820000000000003</v>
      </c>
      <c r="G53" s="227">
        <v>0.57889999999999997</v>
      </c>
      <c r="H53" s="227">
        <v>4.0000000000000002E-4</v>
      </c>
      <c r="I53" s="227">
        <v>0.25359999999999999</v>
      </c>
      <c r="J53" s="227">
        <v>1.72E-2</v>
      </c>
      <c r="K53" s="227">
        <v>0</v>
      </c>
      <c r="L53" s="227">
        <v>0.1459</v>
      </c>
      <c r="M53" s="227">
        <v>4.1000000000000003E-3</v>
      </c>
      <c r="N53" s="225">
        <v>2</v>
      </c>
      <c r="O53" s="225">
        <v>1</v>
      </c>
      <c r="P53" s="225">
        <v>0</v>
      </c>
      <c r="Q53" s="225">
        <v>0</v>
      </c>
    </row>
    <row r="54" spans="1:17">
      <c r="A54" s="224" t="s">
        <v>468</v>
      </c>
      <c r="B54" s="226">
        <v>0.34015046296296297</v>
      </c>
      <c r="C54" s="226">
        <v>0.20222222222222222</v>
      </c>
      <c r="D54" s="225">
        <v>45</v>
      </c>
      <c r="E54" s="227">
        <v>0.69350000000000001</v>
      </c>
      <c r="F54" s="227">
        <v>0.53</v>
      </c>
      <c r="G54" s="227">
        <v>0.56510000000000005</v>
      </c>
      <c r="H54" s="227">
        <v>3.8E-3</v>
      </c>
      <c r="I54" s="227">
        <v>0.25590000000000002</v>
      </c>
      <c r="J54" s="227">
        <v>2.5000000000000001E-2</v>
      </c>
      <c r="K54" s="227">
        <v>0</v>
      </c>
      <c r="L54" s="227">
        <v>0.14319999999999999</v>
      </c>
      <c r="M54" s="227">
        <v>7.0000000000000001E-3</v>
      </c>
      <c r="N54" s="225">
        <v>1</v>
      </c>
      <c r="O54" s="225">
        <v>3</v>
      </c>
      <c r="P54" s="225">
        <v>1</v>
      </c>
      <c r="Q54" s="225">
        <v>1</v>
      </c>
    </row>
    <row r="55" spans="1:17">
      <c r="A55" s="224" t="s">
        <v>469</v>
      </c>
      <c r="B55" s="226">
        <v>0.34311342592592592</v>
      </c>
      <c r="C55" s="226">
        <v>0.21112268518518518</v>
      </c>
      <c r="D55" s="225">
        <v>44</v>
      </c>
      <c r="E55" s="227">
        <v>0.71640000000000004</v>
      </c>
      <c r="F55" s="227">
        <v>0.5464</v>
      </c>
      <c r="G55" s="227">
        <v>0.55420000000000003</v>
      </c>
      <c r="H55" s="227">
        <v>1E-4</v>
      </c>
      <c r="I55" s="227">
        <v>0.23880000000000001</v>
      </c>
      <c r="J55" s="227">
        <v>6.0999999999999999E-2</v>
      </c>
      <c r="K55" s="227">
        <v>0</v>
      </c>
      <c r="L55" s="227">
        <v>0.14299999999999999</v>
      </c>
      <c r="M55" s="227">
        <v>2.8999999999999998E-3</v>
      </c>
      <c r="N55" s="225">
        <v>1</v>
      </c>
      <c r="O55" s="225">
        <v>9</v>
      </c>
      <c r="P55" s="225">
        <v>0</v>
      </c>
      <c r="Q55" s="225">
        <v>0</v>
      </c>
    </row>
    <row r="56" spans="1:17">
      <c r="A56" s="224" t="s">
        <v>470</v>
      </c>
      <c r="B56" s="226">
        <v>0.32046296296296295</v>
      </c>
      <c r="C56" s="226">
        <v>0.18484953703703705</v>
      </c>
      <c r="D56" s="225">
        <v>43</v>
      </c>
      <c r="E56" s="227">
        <v>0.67959999999999998</v>
      </c>
      <c r="F56" s="227">
        <v>0.52849999999999997</v>
      </c>
      <c r="G56" s="227">
        <v>0.52849999999999997</v>
      </c>
      <c r="H56" s="227">
        <v>0</v>
      </c>
      <c r="I56" s="227">
        <v>0.26819999999999999</v>
      </c>
      <c r="J56" s="227">
        <v>4.8300000000000003E-2</v>
      </c>
      <c r="K56" s="227">
        <v>0</v>
      </c>
      <c r="L56" s="227">
        <v>0.15340000000000001</v>
      </c>
      <c r="M56" s="227">
        <v>1.6000000000000001E-3</v>
      </c>
      <c r="N56" s="225">
        <v>0</v>
      </c>
      <c r="O56" s="225">
        <v>7</v>
      </c>
      <c r="P56" s="225">
        <v>0</v>
      </c>
      <c r="Q56" s="225">
        <v>0</v>
      </c>
    </row>
    <row r="57" spans="1:17">
      <c r="A57" s="224" t="s">
        <v>471</v>
      </c>
      <c r="B57" s="226">
        <v>0.33384259259259258</v>
      </c>
      <c r="C57" s="226">
        <v>0.1867824074074074</v>
      </c>
      <c r="D57" s="225">
        <v>42</v>
      </c>
      <c r="E57" s="227">
        <v>0.65449999999999997</v>
      </c>
      <c r="F57" s="227">
        <v>0.53280000000000005</v>
      </c>
      <c r="G57" s="227">
        <v>0.54420000000000002</v>
      </c>
      <c r="H57" s="227">
        <v>1E-4</v>
      </c>
      <c r="I57" s="227">
        <v>0.28770000000000001</v>
      </c>
      <c r="J57" s="227">
        <v>1.52E-2</v>
      </c>
      <c r="K57" s="227">
        <v>0</v>
      </c>
      <c r="L57" s="227">
        <v>0.1454</v>
      </c>
      <c r="M57" s="227">
        <v>7.4999999999999997E-3</v>
      </c>
      <c r="N57" s="225">
        <v>0</v>
      </c>
      <c r="O57" s="225">
        <v>1</v>
      </c>
      <c r="P57" s="225">
        <v>0</v>
      </c>
      <c r="Q57" s="225">
        <v>7</v>
      </c>
    </row>
    <row r="58" spans="1:17">
      <c r="A58" s="224" t="s">
        <v>472</v>
      </c>
      <c r="B58" s="226">
        <v>0.33012731481481483</v>
      </c>
      <c r="C58" s="226">
        <v>0.18739583333333334</v>
      </c>
      <c r="D58" s="225">
        <v>41</v>
      </c>
      <c r="E58" s="227">
        <v>0.66539999999999999</v>
      </c>
      <c r="F58" s="227">
        <v>0.53149999999999997</v>
      </c>
      <c r="G58" s="227">
        <v>0.53790000000000004</v>
      </c>
      <c r="H58" s="227">
        <v>8.9999999999999998E-4</v>
      </c>
      <c r="I58" s="227">
        <v>0.2681</v>
      </c>
      <c r="J58" s="227">
        <v>2.8899999999999999E-2</v>
      </c>
      <c r="K58" s="227">
        <v>0</v>
      </c>
      <c r="L58" s="227">
        <v>0.1598</v>
      </c>
      <c r="M58" s="227">
        <v>4.4000000000000003E-3</v>
      </c>
      <c r="N58" s="225">
        <v>0</v>
      </c>
      <c r="O58" s="225">
        <v>1</v>
      </c>
      <c r="P58" s="225">
        <v>0</v>
      </c>
      <c r="Q58" s="225">
        <v>0</v>
      </c>
    </row>
    <row r="59" spans="1:17">
      <c r="A59" s="224" t="s">
        <v>473</v>
      </c>
      <c r="B59" s="226">
        <v>0.34032407407407406</v>
      </c>
      <c r="C59" s="226">
        <v>0.21151620370370369</v>
      </c>
      <c r="D59" s="225">
        <v>40</v>
      </c>
      <c r="E59" s="227">
        <v>0.72450000000000003</v>
      </c>
      <c r="F59" s="227">
        <v>0.58950000000000002</v>
      </c>
      <c r="G59" s="227">
        <v>0.59760000000000002</v>
      </c>
      <c r="H59" s="227">
        <v>2.0000000000000001E-4</v>
      </c>
      <c r="I59" s="227">
        <v>0.21340000000000001</v>
      </c>
      <c r="J59" s="227">
        <v>2.3699999999999999E-2</v>
      </c>
      <c r="K59" s="227">
        <v>0</v>
      </c>
      <c r="L59" s="227">
        <v>0.1462</v>
      </c>
      <c r="M59" s="227">
        <v>1.89E-2</v>
      </c>
      <c r="N59" s="225">
        <v>0</v>
      </c>
      <c r="O59" s="225">
        <v>3</v>
      </c>
      <c r="P59" s="225">
        <v>0</v>
      </c>
      <c r="Q59" s="225">
        <v>1</v>
      </c>
    </row>
    <row r="60" spans="1:17">
      <c r="A60" s="224" t="s">
        <v>474</v>
      </c>
      <c r="B60" s="226">
        <v>0.33714120370370371</v>
      </c>
      <c r="C60" s="226">
        <v>0.13162037037037036</v>
      </c>
      <c r="D60" s="225">
        <v>39</v>
      </c>
      <c r="E60" s="227">
        <v>0.69930000000000003</v>
      </c>
      <c r="F60" s="227">
        <v>0.34899999999999998</v>
      </c>
      <c r="G60" s="227">
        <v>0.35959999999999998</v>
      </c>
      <c r="H60" s="227">
        <v>1.95E-2</v>
      </c>
      <c r="I60" s="227">
        <v>0.1643</v>
      </c>
      <c r="J60" s="227">
        <v>1.1299999999999999E-2</v>
      </c>
      <c r="K60" s="227">
        <v>0</v>
      </c>
      <c r="L60" s="227">
        <v>0.44230000000000003</v>
      </c>
      <c r="M60" s="227">
        <v>2.8999999999999998E-3</v>
      </c>
      <c r="N60" s="225">
        <v>2</v>
      </c>
      <c r="O60" s="225">
        <v>1</v>
      </c>
      <c r="P60" s="225">
        <v>4</v>
      </c>
      <c r="Q60" s="225">
        <v>0</v>
      </c>
    </row>
    <row r="61" spans="1:17">
      <c r="A61" s="224" t="s">
        <v>475</v>
      </c>
      <c r="B61" s="226">
        <v>0.34364583333333332</v>
      </c>
      <c r="C61" s="226">
        <v>0.17246527777777779</v>
      </c>
      <c r="D61" s="225">
        <v>38</v>
      </c>
      <c r="E61" s="227">
        <v>0.67030000000000001</v>
      </c>
      <c r="F61" s="227">
        <v>0.4793</v>
      </c>
      <c r="G61" s="227">
        <v>0.48830000000000001</v>
      </c>
      <c r="H61" s="227">
        <v>4.0000000000000002E-4</v>
      </c>
      <c r="I61" s="227">
        <v>0.22689999999999999</v>
      </c>
      <c r="J61" s="227">
        <v>1.3100000000000001E-2</v>
      </c>
      <c r="K61" s="227">
        <v>0</v>
      </c>
      <c r="L61" s="227">
        <v>0.2676</v>
      </c>
      <c r="M61" s="227">
        <v>3.7000000000000002E-3</v>
      </c>
      <c r="N61" s="225">
        <v>1</v>
      </c>
      <c r="O61" s="225">
        <v>1</v>
      </c>
      <c r="P61" s="225">
        <v>0</v>
      </c>
      <c r="Q61" s="225">
        <v>0</v>
      </c>
    </row>
    <row r="62" spans="1:17">
      <c r="A62" s="224" t="s">
        <v>476</v>
      </c>
      <c r="B62" s="226">
        <v>0.21915509259259258</v>
      </c>
      <c r="C62" s="226">
        <v>0.15189814814814814</v>
      </c>
      <c r="D62" s="225">
        <v>37</v>
      </c>
      <c r="E62" s="227">
        <v>0.72719999999999996</v>
      </c>
      <c r="F62" s="227">
        <v>0.62760000000000005</v>
      </c>
      <c r="G62" s="227">
        <v>0.66420000000000001</v>
      </c>
      <c r="H62" s="227">
        <v>0</v>
      </c>
      <c r="I62" s="227">
        <v>0.25209999999999999</v>
      </c>
      <c r="J62" s="227">
        <v>2.8899999999999999E-2</v>
      </c>
      <c r="K62" s="227">
        <v>0</v>
      </c>
      <c r="L62" s="227">
        <v>4.9399999999999999E-2</v>
      </c>
      <c r="M62" s="227">
        <v>5.4000000000000003E-3</v>
      </c>
      <c r="N62" s="225">
        <v>1</v>
      </c>
      <c r="O62" s="225">
        <v>3</v>
      </c>
      <c r="P62" s="225">
        <v>0</v>
      </c>
      <c r="Q62" s="225">
        <v>0</v>
      </c>
    </row>
    <row r="63" spans="1:17">
      <c r="A63" s="224" t="s">
        <v>477</v>
      </c>
      <c r="B63" s="226">
        <v>0.3417824074074074</v>
      </c>
      <c r="C63" s="226">
        <v>0.17645833333333333</v>
      </c>
      <c r="D63" s="225">
        <v>36</v>
      </c>
      <c r="E63" s="227">
        <v>0.70740000000000003</v>
      </c>
      <c r="F63" s="227">
        <v>0.47560000000000002</v>
      </c>
      <c r="G63" s="227">
        <v>0.49659999999999999</v>
      </c>
      <c r="H63" s="227">
        <v>1.8E-3</v>
      </c>
      <c r="I63" s="227">
        <v>0.2107</v>
      </c>
      <c r="J63" s="227">
        <v>1.7899999999999999E-2</v>
      </c>
      <c r="K63" s="227">
        <v>0</v>
      </c>
      <c r="L63" s="227">
        <v>0.27050000000000002</v>
      </c>
      <c r="M63" s="227">
        <v>2.5999999999999999E-3</v>
      </c>
      <c r="N63" s="225">
        <v>2</v>
      </c>
      <c r="O63" s="225">
        <v>1</v>
      </c>
      <c r="P63" s="225">
        <v>0</v>
      </c>
      <c r="Q63" s="225">
        <v>0</v>
      </c>
    </row>
    <row r="64" spans="1:17">
      <c r="A64" s="224" t="s">
        <v>478</v>
      </c>
      <c r="B64" s="226">
        <v>0.33370370370370372</v>
      </c>
      <c r="C64" s="226">
        <v>0.16336805555555556</v>
      </c>
      <c r="D64" s="225">
        <v>35</v>
      </c>
      <c r="E64" s="227">
        <v>0.72860000000000003</v>
      </c>
      <c r="F64" s="227">
        <v>0.43640000000000001</v>
      </c>
      <c r="G64" s="227">
        <v>0.4531</v>
      </c>
      <c r="H64" s="227">
        <v>3.0999999999999999E-3</v>
      </c>
      <c r="I64" s="227">
        <v>0.17649999999999999</v>
      </c>
      <c r="J64" s="227">
        <v>3.3300000000000003E-2</v>
      </c>
      <c r="K64" s="227">
        <v>0</v>
      </c>
      <c r="L64" s="227">
        <v>0.32979999999999998</v>
      </c>
      <c r="M64" s="227">
        <v>4.1000000000000003E-3</v>
      </c>
      <c r="N64" s="225">
        <v>0</v>
      </c>
      <c r="O64" s="225">
        <v>6</v>
      </c>
      <c r="P64" s="225">
        <v>1</v>
      </c>
      <c r="Q64" s="225">
        <v>0</v>
      </c>
    </row>
    <row r="65" spans="1:17">
      <c r="A65" s="224" t="s">
        <v>479</v>
      </c>
      <c r="B65" s="226">
        <v>0.33026620370370369</v>
      </c>
      <c r="C65" s="226">
        <v>0.16021990740740741</v>
      </c>
      <c r="D65" s="225">
        <v>34</v>
      </c>
      <c r="E65" s="227">
        <v>0.69159999999999999</v>
      </c>
      <c r="F65" s="227">
        <v>0.45129999999999998</v>
      </c>
      <c r="G65" s="227">
        <v>0.48780000000000001</v>
      </c>
      <c r="H65" s="227">
        <v>1.43E-2</v>
      </c>
      <c r="I65" s="227">
        <v>0.17929999999999999</v>
      </c>
      <c r="J65" s="227">
        <v>1.2699999999999999E-2</v>
      </c>
      <c r="K65" s="227">
        <v>0</v>
      </c>
      <c r="L65" s="227">
        <v>0.30409999999999998</v>
      </c>
      <c r="M65" s="227">
        <v>1.6999999999999999E-3</v>
      </c>
      <c r="N65" s="225">
        <v>1</v>
      </c>
      <c r="O65" s="225">
        <v>1</v>
      </c>
      <c r="P65" s="225">
        <v>4</v>
      </c>
      <c r="Q65" s="225">
        <v>1</v>
      </c>
    </row>
    <row r="66" spans="1:17">
      <c r="A66" s="224" t="s">
        <v>480</v>
      </c>
      <c r="B66" s="226">
        <v>0.20910879629629631</v>
      </c>
      <c r="C66" s="226">
        <v>0.13449074074074074</v>
      </c>
      <c r="D66" s="225">
        <v>33</v>
      </c>
      <c r="E66" s="227">
        <v>0.67659999999999998</v>
      </c>
      <c r="F66" s="227">
        <v>0.61240000000000006</v>
      </c>
      <c r="G66" s="227">
        <v>0.63070000000000004</v>
      </c>
      <c r="H66" s="227">
        <v>0</v>
      </c>
      <c r="I66" s="227">
        <v>0.25380000000000003</v>
      </c>
      <c r="J66" s="227">
        <v>1.2500000000000001E-2</v>
      </c>
      <c r="K66" s="227">
        <v>0</v>
      </c>
      <c r="L66" s="227">
        <v>9.8199999999999996E-2</v>
      </c>
      <c r="M66" s="227">
        <v>4.7999999999999996E-3</v>
      </c>
      <c r="N66" s="225">
        <v>3</v>
      </c>
      <c r="O66" s="225">
        <v>0</v>
      </c>
      <c r="P66" s="225">
        <v>0</v>
      </c>
      <c r="Q66" s="225">
        <v>0</v>
      </c>
    </row>
    <row r="67" spans="1:17">
      <c r="A67" s="224" t="s">
        <v>481</v>
      </c>
      <c r="B67" s="226">
        <v>0.34836805555555556</v>
      </c>
      <c r="C67" s="226">
        <v>0.19697916666666668</v>
      </c>
      <c r="D67" s="225">
        <v>32</v>
      </c>
      <c r="E67" s="227">
        <v>0.64370000000000005</v>
      </c>
      <c r="F67" s="227">
        <v>0.51759999999999995</v>
      </c>
      <c r="G67" s="227">
        <v>0.54049999999999998</v>
      </c>
      <c r="H67" s="227">
        <v>0</v>
      </c>
      <c r="I67" s="227">
        <v>0.28260000000000002</v>
      </c>
      <c r="J67" s="227">
        <v>2.4899999999999999E-2</v>
      </c>
      <c r="K67" s="227">
        <v>0</v>
      </c>
      <c r="L67" s="227">
        <v>0.14760000000000001</v>
      </c>
      <c r="M67" s="227">
        <v>4.3E-3</v>
      </c>
      <c r="N67" s="225">
        <v>3</v>
      </c>
      <c r="O67" s="225">
        <v>4</v>
      </c>
      <c r="P67" s="225">
        <v>0</v>
      </c>
      <c r="Q67" s="225">
        <v>0</v>
      </c>
    </row>
    <row r="68" spans="1:17">
      <c r="A68" s="224" t="s">
        <v>482</v>
      </c>
      <c r="B68" s="226">
        <v>0.34686342592592595</v>
      </c>
      <c r="C68" s="226">
        <v>0.20438657407407407</v>
      </c>
      <c r="D68" s="225">
        <v>31</v>
      </c>
      <c r="E68" s="227">
        <v>0.68049999999999999</v>
      </c>
      <c r="F68" s="227">
        <v>0.55549999999999999</v>
      </c>
      <c r="G68" s="227">
        <v>0.57050000000000001</v>
      </c>
      <c r="H68" s="227">
        <v>1.03E-2</v>
      </c>
      <c r="I68" s="227">
        <v>0.26390000000000002</v>
      </c>
      <c r="J68" s="227">
        <v>8.0999999999999996E-3</v>
      </c>
      <c r="K68" s="227">
        <v>0</v>
      </c>
      <c r="L68" s="227">
        <v>0.13700000000000001</v>
      </c>
      <c r="M68" s="227">
        <v>1.01E-2</v>
      </c>
      <c r="N68" s="225">
        <v>3</v>
      </c>
      <c r="O68" s="225">
        <v>0</v>
      </c>
      <c r="P68" s="225">
        <v>5</v>
      </c>
      <c r="Q68" s="225">
        <v>1</v>
      </c>
    </row>
    <row r="69" spans="1:17">
      <c r="A69" s="224" t="s">
        <v>483</v>
      </c>
      <c r="B69" s="226">
        <v>0.34806712962962966</v>
      </c>
      <c r="C69" s="226">
        <v>0.19177083333333333</v>
      </c>
      <c r="D69" s="225">
        <v>30</v>
      </c>
      <c r="E69" s="227">
        <v>0.75290000000000001</v>
      </c>
      <c r="F69" s="227">
        <v>0.45540000000000003</v>
      </c>
      <c r="G69" s="227">
        <v>0.46889999999999998</v>
      </c>
      <c r="H69" s="227">
        <v>4.0899999999999999E-2</v>
      </c>
      <c r="I69" s="227">
        <v>0.1757</v>
      </c>
      <c r="J69" s="227">
        <v>4.1099999999999998E-2</v>
      </c>
      <c r="K69" s="227">
        <v>0</v>
      </c>
      <c r="L69" s="227">
        <v>0.26989999999999997</v>
      </c>
      <c r="M69" s="227">
        <v>3.3999999999999998E-3</v>
      </c>
      <c r="N69" s="225">
        <v>6</v>
      </c>
      <c r="O69" s="225">
        <v>8</v>
      </c>
      <c r="P69" s="225">
        <v>6</v>
      </c>
      <c r="Q69" s="225">
        <v>0</v>
      </c>
    </row>
    <row r="70" spans="1:17">
      <c r="A70" s="224" t="s">
        <v>484</v>
      </c>
      <c r="B70" s="226">
        <v>0.3349537037037037</v>
      </c>
      <c r="C70" s="226">
        <v>0.19739583333333333</v>
      </c>
      <c r="D70" s="225">
        <v>29</v>
      </c>
      <c r="E70" s="227">
        <v>0.68920000000000003</v>
      </c>
      <c r="F70" s="227">
        <v>0.53449999999999998</v>
      </c>
      <c r="G70" s="227">
        <v>0.55730000000000002</v>
      </c>
      <c r="H70" s="227">
        <v>1.4E-2</v>
      </c>
      <c r="I70" s="227">
        <v>0.25879999999999997</v>
      </c>
      <c r="J70" s="227">
        <v>1.8100000000000002E-2</v>
      </c>
      <c r="K70" s="227">
        <v>0</v>
      </c>
      <c r="L70" s="227">
        <v>0.1452</v>
      </c>
      <c r="M70" s="227">
        <v>6.6E-3</v>
      </c>
      <c r="N70" s="225">
        <v>1</v>
      </c>
      <c r="O70" s="225">
        <v>2</v>
      </c>
      <c r="P70" s="225">
        <v>2</v>
      </c>
      <c r="Q70" s="225">
        <v>1</v>
      </c>
    </row>
    <row r="71" spans="1:17">
      <c r="A71" s="224" t="s">
        <v>485</v>
      </c>
      <c r="B71" s="226">
        <v>0.34497685185185184</v>
      </c>
      <c r="C71" s="226">
        <v>0.20746527777777779</v>
      </c>
      <c r="D71" s="225">
        <v>28</v>
      </c>
      <c r="E71" s="227">
        <v>0.74780000000000002</v>
      </c>
      <c r="F71" s="227">
        <v>0.55910000000000004</v>
      </c>
      <c r="G71" s="227">
        <v>0.57499999999999996</v>
      </c>
      <c r="H71" s="227">
        <v>9.1999999999999998E-3</v>
      </c>
      <c r="I71" s="227">
        <v>0.19670000000000001</v>
      </c>
      <c r="J71" s="227">
        <v>1.5800000000000002E-2</v>
      </c>
      <c r="K71" s="227">
        <v>0</v>
      </c>
      <c r="L71" s="227">
        <v>0.1961</v>
      </c>
      <c r="M71" s="227">
        <v>7.1999999999999998E-3</v>
      </c>
      <c r="N71" s="225">
        <v>3</v>
      </c>
      <c r="O71" s="225">
        <v>1</v>
      </c>
      <c r="P71" s="225">
        <v>2</v>
      </c>
      <c r="Q71" s="225">
        <v>2</v>
      </c>
    </row>
    <row r="72" spans="1:17">
      <c r="A72" s="224" t="s">
        <v>486</v>
      </c>
      <c r="B72" s="226">
        <v>0.33376157407407409</v>
      </c>
      <c r="C72" s="226">
        <v>0.19787037037037036</v>
      </c>
      <c r="D72" s="225">
        <v>29</v>
      </c>
      <c r="E72" s="227">
        <v>0.69350000000000001</v>
      </c>
      <c r="F72" s="227">
        <v>0.56850000000000001</v>
      </c>
      <c r="G72" s="227">
        <v>0.56869999999999998</v>
      </c>
      <c r="H72" s="227">
        <v>7.1000000000000004E-3</v>
      </c>
      <c r="I72" s="227">
        <v>0.25840000000000002</v>
      </c>
      <c r="J72" s="227">
        <v>1.7000000000000001E-2</v>
      </c>
      <c r="K72" s="227">
        <v>0</v>
      </c>
      <c r="L72" s="227">
        <v>0.1454</v>
      </c>
      <c r="M72" s="227">
        <v>3.3999999999999998E-3</v>
      </c>
      <c r="N72" s="225">
        <v>1</v>
      </c>
      <c r="O72" s="225">
        <v>0</v>
      </c>
      <c r="P72" s="225">
        <v>1</v>
      </c>
      <c r="Q72" s="225">
        <v>0</v>
      </c>
    </row>
    <row r="73" spans="1:17">
      <c r="A73" s="224" t="s">
        <v>487</v>
      </c>
      <c r="B73" s="226">
        <v>0.33037037037037037</v>
      </c>
      <c r="C73" s="226">
        <v>0.18496527777777777</v>
      </c>
      <c r="D73" s="225">
        <v>30</v>
      </c>
      <c r="E73" s="227">
        <v>0.70030000000000003</v>
      </c>
      <c r="F73" s="227">
        <v>0.47510000000000002</v>
      </c>
      <c r="G73" s="227">
        <v>0.48949999999999999</v>
      </c>
      <c r="H73" s="227">
        <v>1.37E-2</v>
      </c>
      <c r="I73" s="227">
        <v>0.23580000000000001</v>
      </c>
      <c r="J73" s="227">
        <v>5.67E-2</v>
      </c>
      <c r="K73" s="227">
        <v>0</v>
      </c>
      <c r="L73" s="227">
        <v>0.2019</v>
      </c>
      <c r="M73" s="227">
        <v>2.3999999999999998E-3</v>
      </c>
      <c r="N73" s="225">
        <v>1</v>
      </c>
      <c r="O73" s="225">
        <v>8</v>
      </c>
      <c r="P73" s="225">
        <v>4</v>
      </c>
      <c r="Q73" s="225">
        <v>0</v>
      </c>
    </row>
    <row r="74" spans="1:17">
      <c r="A74" s="224" t="s">
        <v>488</v>
      </c>
      <c r="B74" s="226">
        <v>0.34008101851851852</v>
      </c>
      <c r="C74" s="226">
        <v>0.16811342592592593</v>
      </c>
      <c r="D74" s="225">
        <v>31</v>
      </c>
      <c r="E74" s="227">
        <v>0.67210000000000003</v>
      </c>
      <c r="F74" s="227">
        <v>0.4758</v>
      </c>
      <c r="G74" s="227">
        <v>0.48070000000000002</v>
      </c>
      <c r="H74" s="227">
        <v>0</v>
      </c>
      <c r="I74" s="227">
        <v>0.23449999999999999</v>
      </c>
      <c r="J74" s="227">
        <v>1.3599999999999999E-2</v>
      </c>
      <c r="K74" s="227">
        <v>0</v>
      </c>
      <c r="L74" s="227">
        <v>0.26929999999999998</v>
      </c>
      <c r="M74" s="227">
        <v>1.8E-3</v>
      </c>
      <c r="N74" s="225">
        <v>0</v>
      </c>
      <c r="O74" s="225">
        <v>1</v>
      </c>
      <c r="P74" s="225">
        <v>0</v>
      </c>
      <c r="Q74" s="225">
        <v>0</v>
      </c>
    </row>
    <row r="75" spans="1:17">
      <c r="A75" s="224" t="s">
        <v>489</v>
      </c>
      <c r="B75" s="226">
        <v>0.33415509259259257</v>
      </c>
      <c r="C75" s="226">
        <v>0.16863425925925926</v>
      </c>
      <c r="D75" s="225">
        <v>32</v>
      </c>
      <c r="E75" s="227">
        <v>0.72489999999999999</v>
      </c>
      <c r="F75" s="227">
        <v>0.46899999999999997</v>
      </c>
      <c r="G75" s="227">
        <v>0.48399999999999999</v>
      </c>
      <c r="H75" s="227">
        <v>0</v>
      </c>
      <c r="I75" s="227">
        <v>0.18790000000000001</v>
      </c>
      <c r="J75" s="227">
        <v>2.06E-2</v>
      </c>
      <c r="K75" s="227">
        <v>0</v>
      </c>
      <c r="L75" s="227">
        <v>0.30430000000000001</v>
      </c>
      <c r="M75" s="227">
        <v>3.2000000000000002E-3</v>
      </c>
      <c r="N75" s="225">
        <v>0</v>
      </c>
      <c r="O75" s="225">
        <v>3</v>
      </c>
      <c r="P75" s="225">
        <v>0</v>
      </c>
      <c r="Q75" s="225">
        <v>1</v>
      </c>
    </row>
    <row r="76" spans="1:17">
      <c r="A76" s="224" t="s">
        <v>490</v>
      </c>
      <c r="B76" s="226">
        <v>0.34437499999999999</v>
      </c>
      <c r="C76" s="226">
        <v>0.18534722222222222</v>
      </c>
      <c r="D76" s="225">
        <v>33</v>
      </c>
      <c r="E76" s="227">
        <v>0.70120000000000005</v>
      </c>
      <c r="F76" s="227">
        <v>0.51359999999999995</v>
      </c>
      <c r="G76" s="227">
        <v>0.52059999999999995</v>
      </c>
      <c r="H76" s="227">
        <v>2.0999999999999999E-3</v>
      </c>
      <c r="I76" s="227">
        <v>0.21579999999999999</v>
      </c>
      <c r="J76" s="227">
        <v>2.3199999999999998E-2</v>
      </c>
      <c r="K76" s="227">
        <v>0</v>
      </c>
      <c r="L76" s="227">
        <v>0.23280000000000001</v>
      </c>
      <c r="M76" s="227">
        <v>5.5999999999999999E-3</v>
      </c>
      <c r="N76" s="225">
        <v>2</v>
      </c>
      <c r="O76" s="225">
        <v>1</v>
      </c>
      <c r="P76" s="225">
        <v>1</v>
      </c>
      <c r="Q76" s="225">
        <v>0</v>
      </c>
    </row>
    <row r="77" spans="1:17">
      <c r="A77" s="224" t="s">
        <v>491</v>
      </c>
      <c r="B77" s="226">
        <v>0.3558101851851852</v>
      </c>
      <c r="C77" s="226">
        <v>0.21642361111111111</v>
      </c>
      <c r="D77" s="225">
        <v>34</v>
      </c>
      <c r="E77" s="227">
        <v>0.75160000000000005</v>
      </c>
      <c r="F77" s="227">
        <v>0.52510000000000001</v>
      </c>
      <c r="G77" s="227">
        <v>0.55120000000000002</v>
      </c>
      <c r="H77" s="227">
        <v>5.4000000000000003E-3</v>
      </c>
      <c r="I77" s="227">
        <v>0.1966</v>
      </c>
      <c r="J77" s="227">
        <v>5.16E-2</v>
      </c>
      <c r="K77" s="227">
        <v>0</v>
      </c>
      <c r="L77" s="227">
        <v>0.19259999999999999</v>
      </c>
      <c r="M77" s="227">
        <v>2.5000000000000001E-3</v>
      </c>
      <c r="N77" s="225">
        <v>3</v>
      </c>
      <c r="O77" s="225">
        <v>12</v>
      </c>
      <c r="P77" s="225">
        <v>2</v>
      </c>
      <c r="Q77" s="225">
        <v>0</v>
      </c>
    </row>
    <row r="78" spans="1:17">
      <c r="A78" s="224" t="s">
        <v>492</v>
      </c>
      <c r="B78" s="226">
        <v>0.34848379629629628</v>
      </c>
      <c r="C78" s="226">
        <v>0.12767361111111111</v>
      </c>
      <c r="D78" s="225">
        <v>35</v>
      </c>
      <c r="E78" s="227">
        <v>0.73399999999999999</v>
      </c>
      <c r="F78" s="227">
        <v>0.34860000000000002</v>
      </c>
      <c r="G78" s="227">
        <v>0.34860000000000002</v>
      </c>
      <c r="H78" s="227">
        <v>0</v>
      </c>
      <c r="I78" s="227">
        <v>0.13109999999999999</v>
      </c>
      <c r="J78" s="227">
        <v>1.78E-2</v>
      </c>
      <c r="K78" s="227">
        <v>0</v>
      </c>
      <c r="L78" s="227">
        <v>0.501</v>
      </c>
      <c r="M78" s="227">
        <v>1.5E-3</v>
      </c>
      <c r="N78" s="225">
        <v>0</v>
      </c>
      <c r="O78" s="225">
        <v>3</v>
      </c>
      <c r="P78" s="225">
        <v>0</v>
      </c>
      <c r="Q78" s="225">
        <v>0</v>
      </c>
    </row>
    <row r="79" spans="1:17">
      <c r="A79" s="224" t="s">
        <v>493</v>
      </c>
      <c r="B79" s="226">
        <v>0.35092592592592592</v>
      </c>
      <c r="C79" s="226">
        <v>0.12086805555555556</v>
      </c>
      <c r="D79" s="225">
        <v>36</v>
      </c>
      <c r="E79" s="227">
        <v>0.71209999999999996</v>
      </c>
      <c r="F79" s="227">
        <v>0.31469999999999998</v>
      </c>
      <c r="G79" s="227">
        <v>0.32379999999999998</v>
      </c>
      <c r="H79" s="227">
        <v>0</v>
      </c>
      <c r="I79" s="227">
        <v>0.1376</v>
      </c>
      <c r="J79" s="227">
        <v>2.06E-2</v>
      </c>
      <c r="K79" s="227">
        <v>0</v>
      </c>
      <c r="L79" s="227">
        <v>0.51670000000000005</v>
      </c>
      <c r="M79" s="227">
        <v>1.2999999999999999E-3</v>
      </c>
      <c r="N79" s="225">
        <v>1</v>
      </c>
      <c r="O79" s="225">
        <v>1</v>
      </c>
      <c r="P79" s="225">
        <v>0</v>
      </c>
      <c r="Q79" s="225">
        <v>1</v>
      </c>
    </row>
    <row r="80" spans="1:17">
      <c r="A80" s="224" t="s">
        <v>494</v>
      </c>
      <c r="B80" s="226">
        <v>0.33891203703703704</v>
      </c>
      <c r="C80" s="226">
        <v>0.21581018518518519</v>
      </c>
      <c r="D80" s="225">
        <v>37</v>
      </c>
      <c r="E80" s="227">
        <v>0.74350000000000005</v>
      </c>
      <c r="F80" s="227">
        <v>0.55600000000000005</v>
      </c>
      <c r="G80" s="227">
        <v>0.56330000000000002</v>
      </c>
      <c r="H80" s="227">
        <v>1E-4</v>
      </c>
      <c r="I80" s="227">
        <v>0.21640000000000001</v>
      </c>
      <c r="J80" s="227">
        <v>7.3400000000000007E-2</v>
      </c>
      <c r="K80" s="227">
        <v>0</v>
      </c>
      <c r="L80" s="227">
        <v>0.14430000000000001</v>
      </c>
      <c r="M80" s="227">
        <v>2.5999999999999999E-3</v>
      </c>
      <c r="N80" s="225">
        <v>1</v>
      </c>
      <c r="O80" s="225">
        <v>12</v>
      </c>
      <c r="P80" s="225">
        <v>0</v>
      </c>
      <c r="Q80" s="225">
        <v>0</v>
      </c>
    </row>
    <row r="81" spans="1:17">
      <c r="A81" s="224" t="s">
        <v>495</v>
      </c>
      <c r="B81" s="226">
        <v>0.34675925925925927</v>
      </c>
      <c r="C81" s="226">
        <v>0.17275462962962962</v>
      </c>
      <c r="D81" s="225">
        <v>38</v>
      </c>
      <c r="E81" s="227">
        <v>0.72709999999999997</v>
      </c>
      <c r="F81" s="227">
        <v>0.4622</v>
      </c>
      <c r="G81" s="227">
        <v>0.46929999999999999</v>
      </c>
      <c r="H81" s="227">
        <v>1E-4</v>
      </c>
      <c r="I81" s="227">
        <v>0.17519999999999999</v>
      </c>
      <c r="J81" s="227">
        <v>2.8799999999999999E-2</v>
      </c>
      <c r="K81" s="227">
        <v>0</v>
      </c>
      <c r="L81" s="227">
        <v>0.31540000000000001</v>
      </c>
      <c r="M81" s="227">
        <v>1.12E-2</v>
      </c>
      <c r="N81" s="225">
        <v>2</v>
      </c>
      <c r="O81" s="225">
        <v>5</v>
      </c>
      <c r="P81" s="225">
        <v>0</v>
      </c>
      <c r="Q81" s="225">
        <v>1</v>
      </c>
    </row>
    <row r="82" spans="1:17">
      <c r="A82" s="224" t="s">
        <v>496</v>
      </c>
      <c r="B82" s="226">
        <v>0.3511111111111111</v>
      </c>
      <c r="C82" s="226">
        <v>0.15339120370370371</v>
      </c>
      <c r="D82" s="225">
        <v>39</v>
      </c>
      <c r="E82" s="227">
        <v>0.72250000000000003</v>
      </c>
      <c r="F82" s="227">
        <v>0.39079999999999998</v>
      </c>
      <c r="G82" s="227">
        <v>0.39479999999999998</v>
      </c>
      <c r="H82" s="227">
        <v>1.8E-3</v>
      </c>
      <c r="I82" s="227">
        <v>0.1656</v>
      </c>
      <c r="J82" s="227">
        <v>4.02E-2</v>
      </c>
      <c r="K82" s="227">
        <v>0</v>
      </c>
      <c r="L82" s="227">
        <v>0.39560000000000001</v>
      </c>
      <c r="M82" s="227">
        <v>1.9E-3</v>
      </c>
      <c r="N82" s="225">
        <v>3</v>
      </c>
      <c r="O82" s="225">
        <v>5</v>
      </c>
      <c r="P82" s="225">
        <v>1</v>
      </c>
      <c r="Q82" s="225">
        <v>0</v>
      </c>
    </row>
    <row r="83" spans="1:17">
      <c r="A83" s="224" t="s">
        <v>497</v>
      </c>
      <c r="B83" s="226">
        <v>0.3447453703703704</v>
      </c>
      <c r="C83" s="226">
        <v>0.21947916666666667</v>
      </c>
      <c r="D83" s="225">
        <v>40</v>
      </c>
      <c r="E83" s="227">
        <v>0.73839999999999995</v>
      </c>
      <c r="F83" s="227">
        <v>0.54710000000000003</v>
      </c>
      <c r="G83" s="227">
        <v>0.55889999999999995</v>
      </c>
      <c r="H83" s="227">
        <v>3.0999999999999999E-3</v>
      </c>
      <c r="I83" s="227">
        <v>0.21959999999999999</v>
      </c>
      <c r="J83" s="227">
        <v>7.4700000000000003E-2</v>
      </c>
      <c r="K83" s="227">
        <v>0</v>
      </c>
      <c r="L83" s="227">
        <v>0.1381</v>
      </c>
      <c r="M83" s="227">
        <v>5.7000000000000002E-3</v>
      </c>
      <c r="N83" s="225">
        <v>0</v>
      </c>
      <c r="O83" s="225">
        <v>8</v>
      </c>
      <c r="P83" s="225">
        <v>1</v>
      </c>
      <c r="Q83" s="225">
        <v>0</v>
      </c>
    </row>
    <row r="84" spans="1:17">
      <c r="A84" s="224" t="s">
        <v>498</v>
      </c>
      <c r="B84" s="226">
        <v>0.3167476851851852</v>
      </c>
      <c r="C84" s="226">
        <v>0.21346064814814814</v>
      </c>
      <c r="D84" s="225">
        <v>41</v>
      </c>
      <c r="E84" s="227">
        <v>0.72140000000000004</v>
      </c>
      <c r="F84" s="227">
        <v>0.61460000000000004</v>
      </c>
      <c r="G84" s="227">
        <v>0.6179</v>
      </c>
      <c r="H84" s="227">
        <v>1E-4</v>
      </c>
      <c r="I84" s="227">
        <v>0.25629999999999997</v>
      </c>
      <c r="J84" s="227">
        <v>5.5899999999999998E-2</v>
      </c>
      <c r="K84" s="227">
        <v>0</v>
      </c>
      <c r="L84" s="227">
        <v>6.6500000000000004E-2</v>
      </c>
      <c r="M84" s="227">
        <v>3.3E-3</v>
      </c>
      <c r="N84" s="225">
        <v>4</v>
      </c>
      <c r="O84" s="225">
        <v>6</v>
      </c>
      <c r="P84" s="225">
        <v>0</v>
      </c>
      <c r="Q84" s="225">
        <v>0</v>
      </c>
    </row>
    <row r="85" spans="1:17">
      <c r="A85" s="224" t="s">
        <v>499</v>
      </c>
      <c r="B85" s="226">
        <v>0.34024305555555556</v>
      </c>
      <c r="C85" s="226">
        <v>0.21100694444444446</v>
      </c>
      <c r="D85" s="225">
        <v>42</v>
      </c>
      <c r="E85" s="227">
        <v>0.71950000000000003</v>
      </c>
      <c r="F85" s="227">
        <v>0.5534</v>
      </c>
      <c r="G85" s="227">
        <v>0.56640000000000001</v>
      </c>
      <c r="H85" s="227">
        <v>2.0000000000000001E-4</v>
      </c>
      <c r="I85" s="227">
        <v>0.2344</v>
      </c>
      <c r="J85" s="227">
        <v>5.3600000000000002E-2</v>
      </c>
      <c r="K85" s="227">
        <v>0</v>
      </c>
      <c r="L85" s="227">
        <v>0.14030000000000001</v>
      </c>
      <c r="M85" s="227">
        <v>5.1000000000000004E-3</v>
      </c>
      <c r="N85" s="225">
        <v>1</v>
      </c>
      <c r="O85" s="225">
        <v>7</v>
      </c>
      <c r="P85" s="225">
        <v>0</v>
      </c>
      <c r="Q85" s="225">
        <v>0</v>
      </c>
    </row>
    <row r="86" spans="1:17">
      <c r="A86" s="224" t="s">
        <v>500</v>
      </c>
      <c r="B86" s="226">
        <v>0.33611111111111114</v>
      </c>
      <c r="C86" s="226">
        <v>0.21214120370370371</v>
      </c>
      <c r="D86" s="225">
        <v>43</v>
      </c>
      <c r="E86" s="227">
        <v>0.72909999999999997</v>
      </c>
      <c r="F86" s="227">
        <v>0.61140000000000005</v>
      </c>
      <c r="G86" s="227">
        <v>0.61909999999999998</v>
      </c>
      <c r="H86" s="227">
        <v>0</v>
      </c>
      <c r="I86" s="227">
        <v>0.2253</v>
      </c>
      <c r="J86" s="227">
        <v>1.21E-2</v>
      </c>
      <c r="K86" s="227">
        <v>0</v>
      </c>
      <c r="L86" s="227">
        <v>0.14130000000000001</v>
      </c>
      <c r="M86" s="227">
        <v>2.2000000000000001E-3</v>
      </c>
      <c r="N86" s="225">
        <v>2</v>
      </c>
      <c r="O86" s="225">
        <v>1</v>
      </c>
      <c r="P86" s="225">
        <v>0</v>
      </c>
      <c r="Q86" s="225">
        <v>0</v>
      </c>
    </row>
    <row r="87" spans="1:17">
      <c r="A87" s="224" t="s">
        <v>501</v>
      </c>
      <c r="B87" s="226">
        <v>0.3331365740740741</v>
      </c>
      <c r="C87" s="226">
        <v>0.18670138888888888</v>
      </c>
      <c r="D87" s="225">
        <v>44</v>
      </c>
      <c r="E87" s="227">
        <v>0.70179999999999998</v>
      </c>
      <c r="F87" s="227">
        <v>0.51219999999999999</v>
      </c>
      <c r="G87" s="227">
        <v>0.53269999999999995</v>
      </c>
      <c r="H87" s="227">
        <v>2.7000000000000001E-3</v>
      </c>
      <c r="I87" s="227">
        <v>0.23549999999999999</v>
      </c>
      <c r="J87" s="227">
        <v>2.5000000000000001E-2</v>
      </c>
      <c r="K87" s="227">
        <v>0</v>
      </c>
      <c r="L87" s="227">
        <v>0.2024</v>
      </c>
      <c r="M87" s="227">
        <v>1.6999999999999999E-3</v>
      </c>
      <c r="N87" s="225">
        <v>2</v>
      </c>
      <c r="O87" s="225">
        <v>4</v>
      </c>
      <c r="P87" s="225">
        <v>1</v>
      </c>
      <c r="Q87" s="225">
        <v>0</v>
      </c>
    </row>
    <row r="88" spans="1:17">
      <c r="A88" s="224" t="s">
        <v>502</v>
      </c>
      <c r="B88" s="226">
        <v>0.35135416666666669</v>
      </c>
      <c r="C88" s="226">
        <v>0.20708333333333334</v>
      </c>
      <c r="D88" s="225">
        <v>45</v>
      </c>
      <c r="E88" s="227">
        <v>0.69810000000000005</v>
      </c>
      <c r="F88" s="227">
        <v>0.56030000000000002</v>
      </c>
      <c r="G88" s="227">
        <v>0.57550000000000001</v>
      </c>
      <c r="H88" s="227">
        <v>5.9999999999999995E-4</v>
      </c>
      <c r="I88" s="227">
        <v>0.24990000000000001</v>
      </c>
      <c r="J88" s="227">
        <v>1.3299999999999999E-2</v>
      </c>
      <c r="K88" s="227">
        <v>0</v>
      </c>
      <c r="L88" s="227">
        <v>0.15640000000000001</v>
      </c>
      <c r="M88" s="227">
        <v>4.3E-3</v>
      </c>
      <c r="N88" s="225">
        <v>1</v>
      </c>
      <c r="O88" s="225">
        <v>1</v>
      </c>
      <c r="P88" s="225">
        <v>0</v>
      </c>
      <c r="Q88" s="225">
        <v>0</v>
      </c>
    </row>
    <row r="89" spans="1:17">
      <c r="A89" s="224" t="s">
        <v>503</v>
      </c>
      <c r="B89" s="226">
        <v>0.34356481481481482</v>
      </c>
      <c r="C89" s="226">
        <v>0.16344907407407408</v>
      </c>
      <c r="D89" s="225">
        <v>46</v>
      </c>
      <c r="E89" s="227">
        <v>0.68410000000000004</v>
      </c>
      <c r="F89" s="227">
        <v>0.4289</v>
      </c>
      <c r="G89" s="227">
        <v>0.44440000000000002</v>
      </c>
      <c r="H89" s="227">
        <v>2.0000000000000001E-4</v>
      </c>
      <c r="I89" s="227">
        <v>0.21049999999999999</v>
      </c>
      <c r="J89" s="227">
        <v>3.1099999999999999E-2</v>
      </c>
      <c r="K89" s="227">
        <v>0</v>
      </c>
      <c r="L89" s="227">
        <v>0.31180000000000002</v>
      </c>
      <c r="M89" s="227">
        <v>2E-3</v>
      </c>
      <c r="N89" s="225">
        <v>1</v>
      </c>
      <c r="O89" s="225">
        <v>4</v>
      </c>
      <c r="P89" s="225">
        <v>0</v>
      </c>
      <c r="Q89" s="225">
        <v>0</v>
      </c>
    </row>
    <row r="90" spans="1:17">
      <c r="A90" s="224" t="s">
        <v>504</v>
      </c>
      <c r="B90" s="226">
        <v>0.34900462962962964</v>
      </c>
      <c r="C90" s="226">
        <v>3.3715277777777775E-2</v>
      </c>
      <c r="D90" s="225">
        <v>47</v>
      </c>
      <c r="E90" s="227">
        <v>0.64119999999999999</v>
      </c>
      <c r="F90" s="227">
        <v>9.4500000000000001E-2</v>
      </c>
      <c r="G90" s="227">
        <v>9.4500000000000001E-2</v>
      </c>
      <c r="H90" s="227">
        <v>0</v>
      </c>
      <c r="I90" s="227">
        <v>4.6399999999999997E-2</v>
      </c>
      <c r="J90" s="227">
        <v>2.0999999999999999E-3</v>
      </c>
      <c r="K90" s="227">
        <v>0</v>
      </c>
      <c r="L90" s="227">
        <v>0.85229999999999995</v>
      </c>
      <c r="M90" s="227">
        <v>4.7000000000000002E-3</v>
      </c>
      <c r="N90" s="225">
        <v>1</v>
      </c>
      <c r="O90" s="225">
        <v>0</v>
      </c>
      <c r="P90" s="225">
        <v>0</v>
      </c>
      <c r="Q90" s="225">
        <v>0</v>
      </c>
    </row>
    <row r="91" spans="1:17">
      <c r="A91" s="224" t="s">
        <v>505</v>
      </c>
      <c r="B91" s="226">
        <v>0.33378472222222222</v>
      </c>
      <c r="C91" s="226">
        <v>0.21655092592592592</v>
      </c>
      <c r="D91" s="225">
        <v>48</v>
      </c>
      <c r="E91" s="227">
        <v>0.76119999999999999</v>
      </c>
      <c r="F91" s="227">
        <v>0.61019999999999996</v>
      </c>
      <c r="G91" s="227">
        <v>0.61770000000000003</v>
      </c>
      <c r="H91" s="227">
        <v>2E-3</v>
      </c>
      <c r="I91" s="227">
        <v>0.1943</v>
      </c>
      <c r="J91" s="227">
        <v>2.9100000000000001E-2</v>
      </c>
      <c r="K91" s="227">
        <v>0</v>
      </c>
      <c r="L91" s="227">
        <v>0.14990000000000001</v>
      </c>
      <c r="M91" s="227">
        <v>7.0000000000000001E-3</v>
      </c>
      <c r="N91" s="225">
        <v>1</v>
      </c>
      <c r="O91" s="225">
        <v>5</v>
      </c>
      <c r="P91" s="225">
        <v>1</v>
      </c>
      <c r="Q91" s="225">
        <v>0</v>
      </c>
    </row>
    <row r="92" spans="1:17">
      <c r="A92" s="224" t="s">
        <v>506</v>
      </c>
      <c r="B92" s="226">
        <v>0.34559027777777779</v>
      </c>
      <c r="C92" s="226">
        <v>0.2011574074074074</v>
      </c>
      <c r="D92" s="225">
        <v>49</v>
      </c>
      <c r="E92" s="227">
        <v>0.77170000000000005</v>
      </c>
      <c r="F92" s="227">
        <v>0.51259999999999994</v>
      </c>
      <c r="G92" s="227">
        <v>0.53710000000000002</v>
      </c>
      <c r="H92" s="227">
        <v>0</v>
      </c>
      <c r="I92" s="227">
        <v>0.156</v>
      </c>
      <c r="J92" s="227">
        <v>4.4999999999999998E-2</v>
      </c>
      <c r="K92" s="227">
        <v>0</v>
      </c>
      <c r="L92" s="227">
        <v>0.25440000000000002</v>
      </c>
      <c r="M92" s="227">
        <v>7.6E-3</v>
      </c>
      <c r="N92" s="225">
        <v>3</v>
      </c>
      <c r="O92" s="225">
        <v>8</v>
      </c>
      <c r="P92" s="225">
        <v>0</v>
      </c>
      <c r="Q92" s="225">
        <v>1</v>
      </c>
    </row>
    <row r="93" spans="1:17">
      <c r="A93" s="224" t="s">
        <v>507</v>
      </c>
      <c r="B93" s="226">
        <v>0.2114699074074074</v>
      </c>
      <c r="C93" s="226">
        <v>0.14190972222222223</v>
      </c>
      <c r="D93" s="225">
        <v>50</v>
      </c>
      <c r="E93" s="227">
        <v>0.70599999999999996</v>
      </c>
      <c r="F93" s="227">
        <v>0.62429999999999997</v>
      </c>
      <c r="G93" s="227">
        <v>0.626</v>
      </c>
      <c r="H93" s="227">
        <v>0</v>
      </c>
      <c r="I93" s="227">
        <v>0.24390000000000001</v>
      </c>
      <c r="J93" s="227">
        <v>4.5100000000000001E-2</v>
      </c>
      <c r="K93" s="227">
        <v>0</v>
      </c>
      <c r="L93" s="227">
        <v>8.0299999999999996E-2</v>
      </c>
      <c r="M93" s="227">
        <v>4.7999999999999996E-3</v>
      </c>
      <c r="N93" s="225">
        <v>1</v>
      </c>
      <c r="O93" s="225">
        <v>4</v>
      </c>
      <c r="P93" s="225">
        <v>0</v>
      </c>
      <c r="Q93" s="225">
        <v>0</v>
      </c>
    </row>
    <row r="94" spans="1:17">
      <c r="A94" s="224" t="s">
        <v>508</v>
      </c>
      <c r="B94" s="226">
        <v>0.34075231481481483</v>
      </c>
      <c r="C94" s="226">
        <v>0.19762731481481483</v>
      </c>
      <c r="D94" s="225">
        <v>51</v>
      </c>
      <c r="E94" s="227">
        <v>0.6754</v>
      </c>
      <c r="F94" s="227">
        <v>0.54369999999999996</v>
      </c>
      <c r="G94" s="227">
        <v>0.55759999999999998</v>
      </c>
      <c r="H94" s="227">
        <v>0</v>
      </c>
      <c r="I94" s="227">
        <v>0.27589999999999998</v>
      </c>
      <c r="J94" s="227">
        <v>2.23E-2</v>
      </c>
      <c r="K94" s="227">
        <v>0</v>
      </c>
      <c r="L94" s="227">
        <v>0.1416</v>
      </c>
      <c r="M94" s="227">
        <v>2.5000000000000001E-3</v>
      </c>
      <c r="N94" s="225">
        <v>2</v>
      </c>
      <c r="O94" s="225">
        <v>3</v>
      </c>
      <c r="P94" s="225">
        <v>0</v>
      </c>
      <c r="Q94" s="225">
        <v>0</v>
      </c>
    </row>
    <row r="95" spans="1:17">
      <c r="A95" s="224" t="s">
        <v>509</v>
      </c>
      <c r="B95" s="226">
        <v>0.34390046296296295</v>
      </c>
      <c r="C95" s="225">
        <v>0</v>
      </c>
      <c r="D95" s="225">
        <v>52</v>
      </c>
      <c r="E95" s="228"/>
      <c r="F95" s="228"/>
      <c r="G95" s="227">
        <v>0</v>
      </c>
      <c r="H95" s="227">
        <v>0</v>
      </c>
      <c r="I95" s="227">
        <v>1E-4</v>
      </c>
      <c r="J95" s="227">
        <v>0</v>
      </c>
      <c r="K95" s="227">
        <v>0</v>
      </c>
      <c r="L95" s="227">
        <v>0.99990000000000001</v>
      </c>
      <c r="M95" s="227">
        <v>0</v>
      </c>
      <c r="N95" s="225">
        <v>0</v>
      </c>
      <c r="O95" s="225">
        <v>0</v>
      </c>
      <c r="P95" s="225">
        <v>0</v>
      </c>
      <c r="Q95" s="225">
        <v>0</v>
      </c>
    </row>
    <row r="96" spans="1:17">
      <c r="A96" s="224" t="s">
        <v>510</v>
      </c>
      <c r="B96" s="226">
        <v>0.33532407407407405</v>
      </c>
      <c r="C96" s="226">
        <v>5.0763888888888886E-2</v>
      </c>
      <c r="D96" s="225">
        <v>53</v>
      </c>
      <c r="E96" s="227">
        <v>0.87790000000000001</v>
      </c>
      <c r="F96" s="227">
        <v>0.14430000000000001</v>
      </c>
      <c r="G96" s="227">
        <v>0.1489</v>
      </c>
      <c r="H96" s="227">
        <v>0</v>
      </c>
      <c r="I96" s="227">
        <v>1.6400000000000001E-2</v>
      </c>
      <c r="J96" s="227">
        <v>2.5000000000000001E-3</v>
      </c>
      <c r="K96" s="227">
        <v>0</v>
      </c>
      <c r="L96" s="227">
        <v>0.82779999999999998</v>
      </c>
      <c r="M96" s="227">
        <v>4.4000000000000003E-3</v>
      </c>
      <c r="N96" s="225">
        <v>1</v>
      </c>
      <c r="O96" s="225">
        <v>0</v>
      </c>
      <c r="P96" s="225">
        <v>0</v>
      </c>
      <c r="Q96" s="225">
        <v>0</v>
      </c>
    </row>
    <row r="97" spans="1:17">
      <c r="A97" s="224" t="s">
        <v>511</v>
      </c>
      <c r="B97" s="226">
        <v>0.34682870370370372</v>
      </c>
      <c r="C97" s="226">
        <v>0.20351851851851852</v>
      </c>
      <c r="D97" s="225">
        <v>54</v>
      </c>
      <c r="E97" s="227">
        <v>0.68049999999999999</v>
      </c>
      <c r="F97" s="227">
        <v>0.55259999999999998</v>
      </c>
      <c r="G97" s="227">
        <v>0.56520000000000004</v>
      </c>
      <c r="H97" s="227">
        <v>5.0000000000000001E-4</v>
      </c>
      <c r="I97" s="227">
        <v>0.26329999999999998</v>
      </c>
      <c r="J97" s="227">
        <v>2.1100000000000001E-2</v>
      </c>
      <c r="K97" s="227">
        <v>0</v>
      </c>
      <c r="L97" s="227">
        <v>0.1477</v>
      </c>
      <c r="M97" s="227">
        <v>2.2000000000000001E-3</v>
      </c>
      <c r="N97" s="225">
        <v>4</v>
      </c>
      <c r="O97" s="225">
        <v>4</v>
      </c>
      <c r="P97" s="225">
        <v>0</v>
      </c>
      <c r="Q97" s="225">
        <v>0</v>
      </c>
    </row>
    <row r="98" spans="1:17">
      <c r="A98" s="224" t="s">
        <v>512</v>
      </c>
      <c r="B98" s="226">
        <v>0.33483796296296298</v>
      </c>
      <c r="C98" s="226">
        <v>6.6759259259259254E-2</v>
      </c>
      <c r="D98" s="225">
        <v>55</v>
      </c>
      <c r="E98" s="227">
        <v>0.70089999999999997</v>
      </c>
      <c r="F98" s="227">
        <v>0.18940000000000001</v>
      </c>
      <c r="G98" s="227">
        <v>0.19450000000000001</v>
      </c>
      <c r="H98" s="227">
        <v>5.0000000000000001E-4</v>
      </c>
      <c r="I98" s="227">
        <v>8.4000000000000005E-2</v>
      </c>
      <c r="J98" s="227">
        <v>4.4000000000000003E-3</v>
      </c>
      <c r="K98" s="227">
        <v>0</v>
      </c>
      <c r="L98" s="227">
        <v>0.71599999999999997</v>
      </c>
      <c r="M98" s="227">
        <v>6.9999999999999999E-4</v>
      </c>
      <c r="N98" s="225">
        <v>0</v>
      </c>
      <c r="O98" s="225">
        <v>0</v>
      </c>
      <c r="P98" s="225">
        <v>0</v>
      </c>
      <c r="Q98" s="225">
        <v>0</v>
      </c>
    </row>
    <row r="99" spans="1:17">
      <c r="A99" s="224" t="s">
        <v>513</v>
      </c>
      <c r="B99" s="226">
        <v>0.34770833333333334</v>
      </c>
      <c r="C99" s="226">
        <v>0.1784375</v>
      </c>
      <c r="D99" s="225">
        <v>56</v>
      </c>
      <c r="E99" s="227">
        <v>0.68069999999999997</v>
      </c>
      <c r="F99" s="227">
        <v>0.4708</v>
      </c>
      <c r="G99" s="227">
        <v>0.4778</v>
      </c>
      <c r="H99" s="227">
        <v>2.3999999999999998E-3</v>
      </c>
      <c r="I99" s="227">
        <v>0.23280000000000001</v>
      </c>
      <c r="J99" s="227">
        <v>3.3000000000000002E-2</v>
      </c>
      <c r="K99" s="227">
        <v>0</v>
      </c>
      <c r="L99" s="227">
        <v>0.24959999999999999</v>
      </c>
      <c r="M99" s="227">
        <v>4.4000000000000003E-3</v>
      </c>
      <c r="N99" s="225">
        <v>0</v>
      </c>
      <c r="O99" s="225">
        <v>5</v>
      </c>
      <c r="P99" s="225">
        <v>1</v>
      </c>
      <c r="Q99" s="225">
        <v>1</v>
      </c>
    </row>
    <row r="100" spans="1:17">
      <c r="A100" s="224" t="s">
        <v>514</v>
      </c>
      <c r="B100" s="226">
        <v>0.33384259259259258</v>
      </c>
      <c r="C100" s="226">
        <v>0.19934027777777777</v>
      </c>
      <c r="D100" s="225">
        <v>57</v>
      </c>
      <c r="E100" s="227">
        <v>0.69799999999999995</v>
      </c>
      <c r="F100" s="227">
        <v>0.53859999999999997</v>
      </c>
      <c r="G100" s="227">
        <v>0.54500000000000004</v>
      </c>
      <c r="H100" s="227">
        <v>2E-3</v>
      </c>
      <c r="I100" s="227">
        <v>0.25180000000000002</v>
      </c>
      <c r="J100" s="227">
        <v>5.0099999999999999E-2</v>
      </c>
      <c r="K100" s="227">
        <v>0</v>
      </c>
      <c r="L100" s="227">
        <v>0.1482</v>
      </c>
      <c r="M100" s="227">
        <v>2.8999999999999998E-3</v>
      </c>
      <c r="N100" s="225">
        <v>0</v>
      </c>
      <c r="O100" s="225">
        <v>6</v>
      </c>
      <c r="P100" s="225">
        <v>0</v>
      </c>
      <c r="Q100" s="225">
        <v>2</v>
      </c>
    </row>
    <row r="101" spans="1:17">
      <c r="A101" s="224" t="s">
        <v>515</v>
      </c>
      <c r="B101" s="226">
        <v>0.3346412037037037</v>
      </c>
      <c r="C101" s="226">
        <v>0.19371527777777778</v>
      </c>
      <c r="D101" s="225">
        <v>58</v>
      </c>
      <c r="E101" s="227">
        <v>0.67620000000000002</v>
      </c>
      <c r="F101" s="227">
        <v>0.53290000000000004</v>
      </c>
      <c r="G101" s="227">
        <v>0.54139999999999999</v>
      </c>
      <c r="H101" s="227">
        <v>6.9999999999999999E-4</v>
      </c>
      <c r="I101" s="227">
        <v>0.27450000000000002</v>
      </c>
      <c r="J101" s="227">
        <v>3.6700000000000003E-2</v>
      </c>
      <c r="K101" s="227">
        <v>0</v>
      </c>
      <c r="L101" s="227">
        <v>0.14419999999999999</v>
      </c>
      <c r="M101" s="227">
        <v>2.3999999999999998E-3</v>
      </c>
      <c r="N101" s="225">
        <v>3</v>
      </c>
      <c r="O101" s="225">
        <v>8</v>
      </c>
      <c r="P101" s="225">
        <v>0</v>
      </c>
      <c r="Q101" s="225">
        <v>2</v>
      </c>
    </row>
    <row r="102" spans="1:17">
      <c r="A102" s="224" t="s">
        <v>516</v>
      </c>
      <c r="B102" s="226">
        <v>0.24574074074074073</v>
      </c>
      <c r="C102" s="226">
        <v>0.12021990740740741</v>
      </c>
      <c r="D102" s="225">
        <v>59</v>
      </c>
      <c r="E102" s="227">
        <v>0.87050000000000005</v>
      </c>
      <c r="F102" s="227">
        <v>0.41310000000000002</v>
      </c>
      <c r="G102" s="227">
        <v>0.42209999999999998</v>
      </c>
      <c r="H102" s="227">
        <v>1.8700000000000001E-2</v>
      </c>
      <c r="I102" s="227">
        <v>4.9500000000000002E-2</v>
      </c>
      <c r="J102" s="227">
        <v>4.8300000000000003E-2</v>
      </c>
      <c r="K102" s="227">
        <v>0</v>
      </c>
      <c r="L102" s="227">
        <v>0.45700000000000002</v>
      </c>
      <c r="M102" s="227">
        <v>4.3E-3</v>
      </c>
      <c r="N102" s="225">
        <v>0</v>
      </c>
      <c r="O102" s="225">
        <v>6</v>
      </c>
      <c r="P102" s="225">
        <v>2</v>
      </c>
      <c r="Q102" s="225">
        <v>0</v>
      </c>
    </row>
    <row r="103" spans="1:17">
      <c r="A103" s="224" t="s">
        <v>517</v>
      </c>
      <c r="B103" s="226">
        <v>0.34446759259259258</v>
      </c>
      <c r="C103" s="226">
        <v>0.18254629629629629</v>
      </c>
      <c r="D103" s="225">
        <v>60</v>
      </c>
      <c r="E103" s="227">
        <v>0.68130000000000002</v>
      </c>
      <c r="F103" s="227">
        <v>0.50480000000000003</v>
      </c>
      <c r="G103" s="227">
        <v>0.51500000000000001</v>
      </c>
      <c r="H103" s="227">
        <v>1E-4</v>
      </c>
      <c r="I103" s="227">
        <v>0.2442</v>
      </c>
      <c r="J103" s="227">
        <v>1.4800000000000001E-2</v>
      </c>
      <c r="K103" s="227">
        <v>0</v>
      </c>
      <c r="L103" s="227">
        <v>0.223</v>
      </c>
      <c r="M103" s="227">
        <v>2.8999999999999998E-3</v>
      </c>
      <c r="N103" s="225">
        <v>2</v>
      </c>
      <c r="O103" s="225">
        <v>1</v>
      </c>
      <c r="P103" s="225">
        <v>0</v>
      </c>
      <c r="Q103" s="225">
        <v>0</v>
      </c>
    </row>
    <row r="104" spans="1:17">
      <c r="A104" s="224" t="s">
        <v>518</v>
      </c>
      <c r="B104" s="226">
        <v>0.34423611111111113</v>
      </c>
      <c r="C104" s="226">
        <v>0.18436342592592592</v>
      </c>
      <c r="D104" s="225">
        <v>61</v>
      </c>
      <c r="E104" s="227">
        <v>0.66400000000000003</v>
      </c>
      <c r="F104" s="227">
        <v>0.52390000000000003</v>
      </c>
      <c r="G104" s="227">
        <v>0.52800000000000002</v>
      </c>
      <c r="H104" s="227">
        <v>0</v>
      </c>
      <c r="I104" s="227">
        <v>0.2661</v>
      </c>
      <c r="J104" s="227">
        <v>7.6E-3</v>
      </c>
      <c r="K104" s="227">
        <v>0</v>
      </c>
      <c r="L104" s="227">
        <v>0.1956</v>
      </c>
      <c r="M104" s="227">
        <v>2.8E-3</v>
      </c>
      <c r="N104" s="225">
        <v>5</v>
      </c>
      <c r="O104" s="225">
        <v>0</v>
      </c>
      <c r="P104" s="225">
        <v>0</v>
      </c>
      <c r="Q104" s="225">
        <v>0</v>
      </c>
    </row>
    <row r="105" spans="1:17">
      <c r="A105" s="224" t="s">
        <v>519</v>
      </c>
      <c r="B105" s="226">
        <v>0.34479166666666666</v>
      </c>
      <c r="C105" s="226">
        <v>0.10450231481481481</v>
      </c>
      <c r="D105" s="225">
        <v>62</v>
      </c>
      <c r="E105" s="227">
        <v>0.79400000000000004</v>
      </c>
      <c r="F105" s="227">
        <v>0.25440000000000002</v>
      </c>
      <c r="G105" s="227">
        <v>0.27710000000000001</v>
      </c>
      <c r="H105" s="227">
        <v>0</v>
      </c>
      <c r="I105" s="227">
        <v>7.51E-2</v>
      </c>
      <c r="J105" s="227">
        <v>2.5999999999999999E-2</v>
      </c>
      <c r="K105" s="227">
        <v>0</v>
      </c>
      <c r="L105" s="227">
        <v>0.62019999999999997</v>
      </c>
      <c r="M105" s="227">
        <v>1.6000000000000001E-3</v>
      </c>
      <c r="N105" s="225">
        <v>1</v>
      </c>
      <c r="O105" s="225">
        <v>4</v>
      </c>
      <c r="P105" s="225">
        <v>0</v>
      </c>
      <c r="Q105" s="225">
        <v>1</v>
      </c>
    </row>
    <row r="106" spans="1:17">
      <c r="A106" s="224" t="s">
        <v>520</v>
      </c>
      <c r="B106" s="226">
        <v>0.33458333333333334</v>
      </c>
      <c r="C106" s="226">
        <v>0.20292824074074073</v>
      </c>
      <c r="D106" s="225">
        <v>63</v>
      </c>
      <c r="E106" s="227">
        <v>0.71319999999999995</v>
      </c>
      <c r="F106" s="227">
        <v>0.55520000000000003</v>
      </c>
      <c r="G106" s="227">
        <v>0.56320000000000003</v>
      </c>
      <c r="H106" s="227">
        <v>0</v>
      </c>
      <c r="I106" s="227">
        <v>0.2394</v>
      </c>
      <c r="J106" s="227">
        <v>4.3299999999999998E-2</v>
      </c>
      <c r="K106" s="227">
        <v>0</v>
      </c>
      <c r="L106" s="227">
        <v>0.1522</v>
      </c>
      <c r="M106" s="227">
        <v>1.9E-3</v>
      </c>
      <c r="N106" s="225">
        <v>3</v>
      </c>
      <c r="O106" s="225">
        <v>5</v>
      </c>
      <c r="P106" s="225">
        <v>0</v>
      </c>
      <c r="Q106" s="225">
        <v>1</v>
      </c>
    </row>
    <row r="107" spans="1:17">
      <c r="A107" s="224" t="s">
        <v>521</v>
      </c>
      <c r="B107" s="226">
        <v>0.34524305555555557</v>
      </c>
      <c r="C107" s="228"/>
      <c r="D107" s="225">
        <v>64</v>
      </c>
      <c r="E107" s="228"/>
      <c r="F107" s="228"/>
      <c r="G107" s="227">
        <v>0</v>
      </c>
      <c r="H107" s="227">
        <v>0</v>
      </c>
      <c r="I107" s="227">
        <v>2.9999999999999997E-4</v>
      </c>
      <c r="J107" s="227">
        <v>0</v>
      </c>
      <c r="K107" s="227">
        <v>0</v>
      </c>
      <c r="L107" s="227">
        <v>0.99970000000000003</v>
      </c>
      <c r="M107" s="227">
        <v>0</v>
      </c>
      <c r="N107" s="225">
        <v>0</v>
      </c>
      <c r="O107" s="225">
        <v>0</v>
      </c>
      <c r="P107" s="225">
        <v>0</v>
      </c>
      <c r="Q107" s="225">
        <v>0</v>
      </c>
    </row>
    <row r="108" spans="1:17">
      <c r="A108" s="224" t="s">
        <v>522</v>
      </c>
      <c r="B108" s="226">
        <v>0.34424768518518517</v>
      </c>
      <c r="C108" s="226">
        <v>0.17256944444444444</v>
      </c>
      <c r="D108" s="225">
        <v>65</v>
      </c>
      <c r="E108" s="227">
        <v>0.67969999999999997</v>
      </c>
      <c r="F108" s="227">
        <v>0.47710000000000002</v>
      </c>
      <c r="G108" s="227">
        <v>0.47970000000000002</v>
      </c>
      <c r="H108" s="227">
        <v>1.1000000000000001E-3</v>
      </c>
      <c r="I108" s="227">
        <v>0.23330000000000001</v>
      </c>
      <c r="J108" s="227">
        <v>2.0500000000000001E-2</v>
      </c>
      <c r="K108" s="227">
        <v>0</v>
      </c>
      <c r="L108" s="227">
        <v>0.26279999999999998</v>
      </c>
      <c r="M108" s="227">
        <v>2.5999999999999999E-3</v>
      </c>
      <c r="N108" s="225">
        <v>3</v>
      </c>
      <c r="O108" s="225">
        <v>3</v>
      </c>
      <c r="P108" s="225">
        <v>1</v>
      </c>
      <c r="Q108" s="225">
        <v>0</v>
      </c>
    </row>
    <row r="109" spans="1:17">
      <c r="A109" s="224" t="s">
        <v>523</v>
      </c>
      <c r="B109" s="226">
        <v>0.35488425925925926</v>
      </c>
      <c r="C109" s="226">
        <v>0.2330787037037037</v>
      </c>
      <c r="D109" s="225">
        <v>66</v>
      </c>
      <c r="E109" s="227">
        <v>0.73350000000000004</v>
      </c>
      <c r="F109" s="227">
        <v>0.61919999999999997</v>
      </c>
      <c r="G109" s="227">
        <v>0.62729999999999997</v>
      </c>
      <c r="H109" s="227">
        <v>8.9999999999999998E-4</v>
      </c>
      <c r="I109" s="227">
        <v>0.2326</v>
      </c>
      <c r="J109" s="227">
        <v>2.86E-2</v>
      </c>
      <c r="K109" s="227">
        <v>0</v>
      </c>
      <c r="L109" s="227">
        <v>0.1052</v>
      </c>
      <c r="M109" s="227">
        <v>5.4000000000000003E-3</v>
      </c>
      <c r="N109" s="225">
        <v>4</v>
      </c>
      <c r="O109" s="225">
        <v>4</v>
      </c>
      <c r="P109" s="225">
        <v>0</v>
      </c>
      <c r="Q109" s="225">
        <v>1</v>
      </c>
    </row>
    <row r="110" spans="1:17">
      <c r="A110" s="224" t="s">
        <v>524</v>
      </c>
      <c r="B110" s="226">
        <v>0.33346064814814813</v>
      </c>
      <c r="C110" s="226">
        <v>0.2029050925925926</v>
      </c>
      <c r="D110" s="225">
        <v>67</v>
      </c>
      <c r="E110" s="227">
        <v>0.71079999999999999</v>
      </c>
      <c r="F110" s="227">
        <v>0.55310000000000004</v>
      </c>
      <c r="G110" s="227">
        <v>0.56459999999999999</v>
      </c>
      <c r="H110" s="227">
        <v>0</v>
      </c>
      <c r="I110" s="227">
        <v>0.24379999999999999</v>
      </c>
      <c r="J110" s="227">
        <v>4.3900000000000002E-2</v>
      </c>
      <c r="K110" s="227">
        <v>0</v>
      </c>
      <c r="L110" s="227">
        <v>0.14449999999999999</v>
      </c>
      <c r="M110" s="227">
        <v>3.2000000000000002E-3</v>
      </c>
      <c r="N110" s="225">
        <v>1</v>
      </c>
      <c r="O110" s="225">
        <v>7</v>
      </c>
      <c r="P110" s="225">
        <v>0</v>
      </c>
      <c r="Q110" s="225">
        <v>0</v>
      </c>
    </row>
    <row r="111" spans="1:17">
      <c r="A111" s="224" t="s">
        <v>525</v>
      </c>
      <c r="B111" s="226">
        <v>0.34430555555555553</v>
      </c>
      <c r="C111" s="226">
        <v>0.20876157407407409</v>
      </c>
      <c r="D111" s="225">
        <v>68</v>
      </c>
      <c r="E111" s="227">
        <v>0.70350000000000001</v>
      </c>
      <c r="F111" s="227">
        <v>0.56200000000000006</v>
      </c>
      <c r="G111" s="227">
        <v>0.56599999999999995</v>
      </c>
      <c r="H111" s="227">
        <v>1E-4</v>
      </c>
      <c r="I111" s="227">
        <v>0.2525</v>
      </c>
      <c r="J111" s="227">
        <v>4.02E-2</v>
      </c>
      <c r="K111" s="227">
        <v>0</v>
      </c>
      <c r="L111" s="227">
        <v>0.13850000000000001</v>
      </c>
      <c r="M111" s="227">
        <v>2.7000000000000001E-3</v>
      </c>
      <c r="N111" s="225">
        <v>3</v>
      </c>
      <c r="O111" s="225">
        <v>6</v>
      </c>
      <c r="P111" s="225">
        <v>0</v>
      </c>
      <c r="Q111" s="225">
        <v>0</v>
      </c>
    </row>
    <row r="112" spans="1:17">
      <c r="A112" s="224" t="s">
        <v>526</v>
      </c>
      <c r="B112" s="226">
        <v>0.34439814814814818</v>
      </c>
      <c r="C112" s="226">
        <v>0.19284722222222223</v>
      </c>
      <c r="D112" s="225">
        <v>69</v>
      </c>
      <c r="E112" s="227">
        <v>0.7349</v>
      </c>
      <c r="F112" s="227">
        <v>0.48780000000000001</v>
      </c>
      <c r="G112" s="227">
        <v>0.50470000000000004</v>
      </c>
      <c r="H112" s="227">
        <v>7.7999999999999996E-3</v>
      </c>
      <c r="I112" s="227">
        <v>0.1961</v>
      </c>
      <c r="J112" s="227">
        <v>4.7500000000000001E-2</v>
      </c>
      <c r="K112" s="227">
        <v>0</v>
      </c>
      <c r="L112" s="227">
        <v>0.2409</v>
      </c>
      <c r="M112" s="227">
        <v>3.0000000000000001E-3</v>
      </c>
      <c r="N112" s="225">
        <v>2</v>
      </c>
      <c r="O112" s="225">
        <v>6</v>
      </c>
      <c r="P112" s="225">
        <v>1</v>
      </c>
      <c r="Q112" s="225">
        <v>2</v>
      </c>
    </row>
    <row r="113" spans="1:17">
      <c r="A113" s="224" t="s">
        <v>527</v>
      </c>
      <c r="B113" s="226">
        <v>0.34435185185185185</v>
      </c>
      <c r="C113" s="226">
        <v>0.20849537037037036</v>
      </c>
      <c r="D113" s="225">
        <v>70</v>
      </c>
      <c r="E113" s="227">
        <v>0.70330000000000004</v>
      </c>
      <c r="F113" s="227">
        <v>0.55410000000000004</v>
      </c>
      <c r="G113" s="227">
        <v>0.56330000000000002</v>
      </c>
      <c r="H113" s="227">
        <v>1.1000000000000001E-3</v>
      </c>
      <c r="I113" s="227">
        <v>0.24590000000000001</v>
      </c>
      <c r="J113" s="227">
        <v>4.1000000000000002E-2</v>
      </c>
      <c r="K113" s="227">
        <v>0</v>
      </c>
      <c r="L113" s="227">
        <v>0.1406</v>
      </c>
      <c r="M113" s="227">
        <v>8.0000000000000002E-3</v>
      </c>
      <c r="N113" s="225">
        <v>3</v>
      </c>
      <c r="O113" s="225">
        <v>7</v>
      </c>
      <c r="P113" s="225">
        <v>1</v>
      </c>
      <c r="Q113" s="225">
        <v>0</v>
      </c>
    </row>
    <row r="114" spans="1:17">
      <c r="A114" s="224" t="s">
        <v>528</v>
      </c>
      <c r="B114" s="226">
        <v>0.33491898148148147</v>
      </c>
      <c r="C114" s="226">
        <v>0.21258101851851852</v>
      </c>
      <c r="D114" s="225">
        <v>71</v>
      </c>
      <c r="E114" s="227">
        <v>0.74219999999999997</v>
      </c>
      <c r="F114" s="227">
        <v>0.58650000000000002</v>
      </c>
      <c r="G114" s="227">
        <v>0.59619999999999995</v>
      </c>
      <c r="H114" s="227">
        <v>1E-4</v>
      </c>
      <c r="I114" s="227">
        <v>0.2175</v>
      </c>
      <c r="J114" s="227">
        <v>3.85E-2</v>
      </c>
      <c r="K114" s="227">
        <v>0</v>
      </c>
      <c r="L114" s="227">
        <v>0.1457</v>
      </c>
      <c r="M114" s="227">
        <v>2.0999999999999999E-3</v>
      </c>
      <c r="N114" s="225">
        <v>2</v>
      </c>
      <c r="O114" s="225">
        <v>6</v>
      </c>
      <c r="P114" s="225">
        <v>0</v>
      </c>
      <c r="Q114" s="225">
        <v>0</v>
      </c>
    </row>
    <row r="115" spans="1:17">
      <c r="A115" s="224" t="s">
        <v>529</v>
      </c>
      <c r="B115" s="226">
        <v>0.34442129629629631</v>
      </c>
      <c r="C115" s="226">
        <v>0.22203703703703703</v>
      </c>
      <c r="D115" s="225">
        <v>72</v>
      </c>
      <c r="E115" s="227">
        <v>0.75729999999999997</v>
      </c>
      <c r="F115" s="227">
        <v>0.58169999999999999</v>
      </c>
      <c r="G115" s="227">
        <v>0.59160000000000001</v>
      </c>
      <c r="H115" s="227">
        <v>2.9999999999999997E-4</v>
      </c>
      <c r="I115" s="227">
        <v>0.2036</v>
      </c>
      <c r="J115" s="227">
        <v>5.28E-2</v>
      </c>
      <c r="K115" s="227">
        <v>0</v>
      </c>
      <c r="L115" s="227">
        <v>0.14910000000000001</v>
      </c>
      <c r="M115" s="227">
        <v>2.7000000000000001E-3</v>
      </c>
      <c r="N115" s="225">
        <v>3</v>
      </c>
      <c r="O115" s="225">
        <v>9</v>
      </c>
      <c r="P115" s="225">
        <v>0</v>
      </c>
      <c r="Q115" s="225">
        <v>4</v>
      </c>
    </row>
    <row r="116" spans="1:17">
      <c r="A116" s="224" t="s">
        <v>530</v>
      </c>
      <c r="B116" s="226">
        <v>0.33370370370370372</v>
      </c>
      <c r="C116" s="226">
        <v>0.21053240740740742</v>
      </c>
      <c r="D116" s="225">
        <v>73</v>
      </c>
      <c r="E116" s="227">
        <v>0.73750000000000004</v>
      </c>
      <c r="F116" s="227">
        <v>0.5907</v>
      </c>
      <c r="G116" s="227">
        <v>0.6048</v>
      </c>
      <c r="H116" s="227">
        <v>1E-4</v>
      </c>
      <c r="I116" s="227">
        <v>0.21890000000000001</v>
      </c>
      <c r="J116" s="227">
        <v>2.5999999999999999E-2</v>
      </c>
      <c r="K116" s="227">
        <v>0</v>
      </c>
      <c r="L116" s="227">
        <v>0.14530000000000001</v>
      </c>
      <c r="M116" s="227">
        <v>5.0000000000000001E-3</v>
      </c>
      <c r="N116" s="225">
        <v>2</v>
      </c>
      <c r="O116" s="225">
        <v>4</v>
      </c>
      <c r="P116" s="225">
        <v>0</v>
      </c>
      <c r="Q116" s="225">
        <v>0</v>
      </c>
    </row>
    <row r="117" spans="1:17">
      <c r="A117" s="224" t="s">
        <v>531</v>
      </c>
      <c r="B117" s="226">
        <v>0.34518518518518521</v>
      </c>
      <c r="C117" s="226">
        <v>0.21524305555555556</v>
      </c>
      <c r="D117" s="225">
        <v>74</v>
      </c>
      <c r="E117" s="227">
        <v>0.72640000000000005</v>
      </c>
      <c r="F117" s="227">
        <v>0.58640000000000003</v>
      </c>
      <c r="G117" s="227">
        <v>0.58720000000000006</v>
      </c>
      <c r="H117" s="227">
        <v>1.5E-3</v>
      </c>
      <c r="I117" s="227">
        <v>0.23230000000000001</v>
      </c>
      <c r="J117" s="227">
        <v>3.49E-2</v>
      </c>
      <c r="K117" s="227">
        <v>0</v>
      </c>
      <c r="L117" s="227">
        <v>0.14280000000000001</v>
      </c>
      <c r="M117" s="227">
        <v>1.4E-3</v>
      </c>
      <c r="N117" s="225">
        <v>4</v>
      </c>
      <c r="O117" s="225">
        <v>4</v>
      </c>
      <c r="P117" s="225">
        <v>1</v>
      </c>
      <c r="Q117" s="225">
        <v>0</v>
      </c>
    </row>
    <row r="118" spans="1:17">
      <c r="A118" s="224" t="s">
        <v>532</v>
      </c>
      <c r="B118" s="226">
        <v>0.3354050925925926</v>
      </c>
      <c r="C118" s="226">
        <v>0.19744212962962962</v>
      </c>
      <c r="D118" s="225">
        <v>75</v>
      </c>
      <c r="E118" s="227">
        <v>0.68830000000000002</v>
      </c>
      <c r="F118" s="227">
        <v>0.54649999999999999</v>
      </c>
      <c r="G118" s="227">
        <v>0.54959999999999998</v>
      </c>
      <c r="H118" s="227">
        <v>5.0000000000000001E-4</v>
      </c>
      <c r="I118" s="227">
        <v>0.26069999999999999</v>
      </c>
      <c r="J118" s="227">
        <v>3.8600000000000002E-2</v>
      </c>
      <c r="K118" s="227">
        <v>0</v>
      </c>
      <c r="L118" s="227">
        <v>0.14910000000000001</v>
      </c>
      <c r="M118" s="227">
        <v>1.6000000000000001E-3</v>
      </c>
      <c r="N118" s="225">
        <v>2</v>
      </c>
      <c r="O118" s="225">
        <v>6</v>
      </c>
      <c r="P118" s="225">
        <v>0</v>
      </c>
      <c r="Q118" s="225">
        <v>2</v>
      </c>
    </row>
    <row r="119" spans="1:17">
      <c r="A119" s="224" t="s">
        <v>533</v>
      </c>
      <c r="B119" s="226">
        <v>0.33627314814814813</v>
      </c>
      <c r="C119" s="226">
        <v>0.18991898148148148</v>
      </c>
      <c r="D119" s="225">
        <v>76</v>
      </c>
      <c r="E119" s="227">
        <v>0.69669999999999999</v>
      </c>
      <c r="F119" s="227">
        <v>0.53239999999999998</v>
      </c>
      <c r="G119" s="227">
        <v>0.55589999999999995</v>
      </c>
      <c r="H119" s="227">
        <v>1E-4</v>
      </c>
      <c r="I119" s="227">
        <v>0.24199999999999999</v>
      </c>
      <c r="J119" s="227">
        <v>8.8000000000000005E-3</v>
      </c>
      <c r="K119" s="227">
        <v>0</v>
      </c>
      <c r="L119" s="227">
        <v>0.1913</v>
      </c>
      <c r="M119" s="227">
        <v>2E-3</v>
      </c>
      <c r="N119" s="225">
        <v>1</v>
      </c>
      <c r="O119" s="225">
        <v>0</v>
      </c>
      <c r="P119" s="225">
        <v>0</v>
      </c>
      <c r="Q119" s="225">
        <v>0</v>
      </c>
    </row>
    <row r="120" spans="1:17">
      <c r="A120" s="224" t="s">
        <v>534</v>
      </c>
      <c r="B120" s="226">
        <v>0.33471064814814816</v>
      </c>
      <c r="C120" s="226">
        <v>0.18868055555555555</v>
      </c>
      <c r="D120" s="225">
        <v>77</v>
      </c>
      <c r="E120" s="227">
        <v>0.71030000000000004</v>
      </c>
      <c r="F120" s="227">
        <v>0.47020000000000001</v>
      </c>
      <c r="G120" s="227">
        <v>0.48559999999999998</v>
      </c>
      <c r="H120" s="227">
        <v>1.95E-2</v>
      </c>
      <c r="I120" s="227">
        <v>0.20979999999999999</v>
      </c>
      <c r="J120" s="227">
        <v>5.8200000000000002E-2</v>
      </c>
      <c r="K120" s="227">
        <v>0</v>
      </c>
      <c r="L120" s="227">
        <v>0.21909999999999999</v>
      </c>
      <c r="M120" s="227">
        <v>7.7999999999999996E-3</v>
      </c>
      <c r="N120" s="225">
        <v>1</v>
      </c>
      <c r="O120" s="225">
        <v>7</v>
      </c>
      <c r="P120" s="225">
        <v>3</v>
      </c>
      <c r="Q120" s="225">
        <v>2</v>
      </c>
    </row>
    <row r="121" spans="1:17">
      <c r="A121" s="224" t="s">
        <v>535</v>
      </c>
      <c r="B121" s="226">
        <v>0.33974537037037039</v>
      </c>
      <c r="C121" s="226">
        <v>0.20261574074074074</v>
      </c>
      <c r="D121" s="225">
        <v>78</v>
      </c>
      <c r="E121" s="227">
        <v>0.69220000000000004</v>
      </c>
      <c r="F121" s="227">
        <v>0.54630000000000001</v>
      </c>
      <c r="G121" s="227">
        <v>0.56850000000000001</v>
      </c>
      <c r="H121" s="227">
        <v>0</v>
      </c>
      <c r="I121" s="227">
        <v>0.2596</v>
      </c>
      <c r="J121" s="227">
        <v>2.7900000000000001E-2</v>
      </c>
      <c r="K121" s="227">
        <v>0</v>
      </c>
      <c r="L121" s="227">
        <v>0.1406</v>
      </c>
      <c r="M121" s="227">
        <v>3.3999999999999998E-3</v>
      </c>
      <c r="N121" s="225">
        <v>0</v>
      </c>
      <c r="O121" s="225">
        <v>2</v>
      </c>
      <c r="P121" s="225">
        <v>0</v>
      </c>
      <c r="Q121" s="225">
        <v>0</v>
      </c>
    </row>
    <row r="122" spans="1:17">
      <c r="A122" s="224" t="s">
        <v>536</v>
      </c>
      <c r="B122" s="226">
        <v>0.34557870370370369</v>
      </c>
      <c r="C122" s="226">
        <v>0.14315972222222223</v>
      </c>
      <c r="D122" s="225">
        <v>79</v>
      </c>
      <c r="E122" s="227">
        <v>0.74490000000000001</v>
      </c>
      <c r="F122" s="227">
        <v>0.38819999999999999</v>
      </c>
      <c r="G122" s="227">
        <v>0.3891</v>
      </c>
      <c r="H122" s="227">
        <v>0</v>
      </c>
      <c r="I122" s="227">
        <v>0.1361</v>
      </c>
      <c r="J122" s="227">
        <v>2.5100000000000001E-2</v>
      </c>
      <c r="K122" s="227">
        <v>0</v>
      </c>
      <c r="L122" s="227">
        <v>0.44829999999999998</v>
      </c>
      <c r="M122" s="227">
        <v>1.2999999999999999E-3</v>
      </c>
      <c r="N122" s="225">
        <v>2</v>
      </c>
      <c r="O122" s="225">
        <v>3</v>
      </c>
      <c r="P122" s="225">
        <v>0</v>
      </c>
      <c r="Q122" s="225">
        <v>0</v>
      </c>
    </row>
    <row r="123" spans="1:17">
      <c r="A123" s="224" t="s">
        <v>537</v>
      </c>
      <c r="B123" s="226">
        <v>0.33189814814814816</v>
      </c>
      <c r="C123" s="226">
        <v>0.1439236111111111</v>
      </c>
      <c r="D123" s="225">
        <v>80</v>
      </c>
      <c r="E123" s="227">
        <v>0.73150000000000004</v>
      </c>
      <c r="F123" s="227">
        <v>0.40279999999999999</v>
      </c>
      <c r="G123" s="227">
        <v>0.41399999999999998</v>
      </c>
      <c r="H123" s="227">
        <v>2.0000000000000001E-4</v>
      </c>
      <c r="I123" s="227">
        <v>0.15390000000000001</v>
      </c>
      <c r="J123" s="227">
        <v>1.9400000000000001E-2</v>
      </c>
      <c r="K123" s="227">
        <v>0</v>
      </c>
      <c r="L123" s="227">
        <v>0.40820000000000001</v>
      </c>
      <c r="M123" s="227">
        <v>4.3E-3</v>
      </c>
      <c r="N123" s="225">
        <v>1</v>
      </c>
      <c r="O123" s="225">
        <v>1</v>
      </c>
      <c r="P123" s="225">
        <v>0</v>
      </c>
      <c r="Q123" s="225">
        <v>0</v>
      </c>
    </row>
    <row r="124" spans="1:17">
      <c r="A124" s="224" t="s">
        <v>538</v>
      </c>
      <c r="B124" s="226">
        <v>0.34369212962962964</v>
      </c>
      <c r="C124" s="226">
        <v>0.22164351851851852</v>
      </c>
      <c r="D124" s="225">
        <v>81</v>
      </c>
      <c r="E124" s="227">
        <v>0.74919999999999998</v>
      </c>
      <c r="F124" s="227">
        <v>0.54349999999999998</v>
      </c>
      <c r="G124" s="227">
        <v>0.57599999999999996</v>
      </c>
      <c r="H124" s="227">
        <v>1E-4</v>
      </c>
      <c r="I124" s="227">
        <v>0.20880000000000001</v>
      </c>
      <c r="J124" s="227">
        <v>6.8900000000000003E-2</v>
      </c>
      <c r="K124" s="227">
        <v>0</v>
      </c>
      <c r="L124" s="227">
        <v>0.1414</v>
      </c>
      <c r="M124" s="227">
        <v>4.8999999999999998E-3</v>
      </c>
      <c r="N124" s="225">
        <v>1</v>
      </c>
      <c r="O124" s="225">
        <v>10</v>
      </c>
      <c r="P124" s="225">
        <v>0</v>
      </c>
      <c r="Q124" s="225">
        <v>0</v>
      </c>
    </row>
    <row r="125" spans="1:17">
      <c r="A125" s="224" t="s">
        <v>539</v>
      </c>
      <c r="B125" s="226">
        <v>0.3548263888888889</v>
      </c>
      <c r="C125" s="226">
        <v>0.15355324074074075</v>
      </c>
      <c r="D125" s="225">
        <v>82</v>
      </c>
      <c r="E125" s="227">
        <v>0.48110000000000003</v>
      </c>
      <c r="F125" s="227">
        <v>0.28370000000000001</v>
      </c>
      <c r="G125" s="227">
        <v>0.3105</v>
      </c>
      <c r="H125" s="227">
        <v>2E-3</v>
      </c>
      <c r="I125" s="227">
        <v>0.4461</v>
      </c>
      <c r="J125" s="227">
        <v>0.1203</v>
      </c>
      <c r="K125" s="227">
        <v>0</v>
      </c>
      <c r="L125" s="227">
        <v>0.1089</v>
      </c>
      <c r="M125" s="227">
        <v>1.2200000000000001E-2</v>
      </c>
      <c r="N125" s="225">
        <v>0</v>
      </c>
      <c r="O125" s="225">
        <v>13</v>
      </c>
      <c r="P125" s="225">
        <v>0</v>
      </c>
      <c r="Q125" s="225">
        <v>2</v>
      </c>
    </row>
    <row r="126" spans="1:17">
      <c r="A126" s="224" t="s">
        <v>540</v>
      </c>
      <c r="B126" s="226">
        <v>0.36775462962962963</v>
      </c>
      <c r="C126" s="226">
        <v>0.21557870370370372</v>
      </c>
      <c r="D126" s="225">
        <v>83</v>
      </c>
      <c r="E126" s="227">
        <v>0.72350000000000003</v>
      </c>
      <c r="F126" s="227">
        <v>0.56200000000000006</v>
      </c>
      <c r="G126" s="227">
        <v>0.5645</v>
      </c>
      <c r="H126" s="227">
        <v>2.8999999999999998E-3</v>
      </c>
      <c r="I126" s="227">
        <v>0.21740000000000001</v>
      </c>
      <c r="J126" s="227">
        <v>1.8800000000000001E-2</v>
      </c>
      <c r="K126" s="227">
        <v>0</v>
      </c>
      <c r="L126" s="227">
        <v>0.19170000000000001</v>
      </c>
      <c r="M126" s="227">
        <v>4.7999999999999996E-3</v>
      </c>
      <c r="N126" s="225">
        <v>1</v>
      </c>
      <c r="O126" s="225">
        <v>2</v>
      </c>
      <c r="P126" s="225">
        <v>1</v>
      </c>
      <c r="Q126" s="225">
        <v>0</v>
      </c>
    </row>
    <row r="127" spans="1:17">
      <c r="A127" s="224" t="s">
        <v>541</v>
      </c>
      <c r="B127" s="226">
        <v>0.35119212962962965</v>
      </c>
      <c r="C127" s="226">
        <v>0.15380787037037036</v>
      </c>
      <c r="D127" s="225">
        <v>84</v>
      </c>
      <c r="E127" s="227">
        <v>0.73119999999999996</v>
      </c>
      <c r="F127" s="227">
        <v>0.40329999999999999</v>
      </c>
      <c r="G127" s="227">
        <v>0.40629999999999999</v>
      </c>
      <c r="H127" s="227">
        <v>0</v>
      </c>
      <c r="I127" s="227">
        <v>0.15770000000000001</v>
      </c>
      <c r="J127" s="227">
        <v>3.1600000000000003E-2</v>
      </c>
      <c r="K127" s="227">
        <v>0</v>
      </c>
      <c r="L127" s="227">
        <v>0.40300000000000002</v>
      </c>
      <c r="M127" s="227">
        <v>1.2999999999999999E-3</v>
      </c>
      <c r="N127" s="225">
        <v>0</v>
      </c>
      <c r="O127" s="225">
        <v>5</v>
      </c>
      <c r="P127" s="225">
        <v>0</v>
      </c>
      <c r="Q127" s="225">
        <v>0</v>
      </c>
    </row>
    <row r="128" spans="1:17">
      <c r="A128" s="224" t="s">
        <v>542</v>
      </c>
      <c r="B128" s="226">
        <v>0.34143518518518517</v>
      </c>
      <c r="C128" s="226">
        <v>0.17545138888888889</v>
      </c>
      <c r="D128" s="225">
        <v>85</v>
      </c>
      <c r="E128" s="227">
        <v>0.71050000000000002</v>
      </c>
      <c r="F128" s="227">
        <v>0.438</v>
      </c>
      <c r="G128" s="227">
        <v>0.46639999999999998</v>
      </c>
      <c r="H128" s="227">
        <v>6.4999999999999997E-3</v>
      </c>
      <c r="I128" s="227">
        <v>0.20180000000000001</v>
      </c>
      <c r="J128" s="227">
        <v>4.0899999999999999E-2</v>
      </c>
      <c r="K128" s="227">
        <v>0</v>
      </c>
      <c r="L128" s="227">
        <v>0.28029999999999999</v>
      </c>
      <c r="M128" s="227">
        <v>4.0000000000000001E-3</v>
      </c>
      <c r="N128" s="225">
        <v>0</v>
      </c>
      <c r="O128" s="225">
        <v>6</v>
      </c>
      <c r="P128" s="225">
        <v>1</v>
      </c>
      <c r="Q128" s="225">
        <v>1</v>
      </c>
    </row>
    <row r="129" spans="1:17">
      <c r="A129" s="224" t="s">
        <v>543</v>
      </c>
      <c r="B129" s="226">
        <v>0.34533564814814816</v>
      </c>
      <c r="C129" s="226">
        <v>0.20476851851851852</v>
      </c>
      <c r="D129" s="225">
        <v>86</v>
      </c>
      <c r="E129" s="227">
        <v>0.68889999999999996</v>
      </c>
      <c r="F129" s="227">
        <v>0.55579999999999996</v>
      </c>
      <c r="G129" s="227">
        <v>0.55969999999999998</v>
      </c>
      <c r="H129" s="227">
        <v>5.9999999999999995E-4</v>
      </c>
      <c r="I129" s="227">
        <v>0.2447</v>
      </c>
      <c r="J129" s="227">
        <v>3.2599999999999997E-2</v>
      </c>
      <c r="K129" s="227">
        <v>0</v>
      </c>
      <c r="L129" s="227">
        <v>0.15989999999999999</v>
      </c>
      <c r="M129" s="227">
        <v>2.3999999999999998E-3</v>
      </c>
      <c r="N129" s="225">
        <v>4</v>
      </c>
      <c r="O129" s="225">
        <v>4</v>
      </c>
      <c r="P129" s="225">
        <v>0</v>
      </c>
      <c r="Q129" s="225">
        <v>0</v>
      </c>
    </row>
    <row r="130" spans="1:17">
      <c r="A130" s="224" t="s">
        <v>544</v>
      </c>
      <c r="B130" s="226">
        <v>0.34416666666666668</v>
      </c>
      <c r="C130" s="226">
        <v>0.12054398148148149</v>
      </c>
      <c r="D130" s="225">
        <v>87</v>
      </c>
      <c r="E130" s="227">
        <v>0.78139999999999998</v>
      </c>
      <c r="F130" s="227">
        <v>0.32600000000000001</v>
      </c>
      <c r="G130" s="227">
        <v>0.34320000000000001</v>
      </c>
      <c r="H130" s="227">
        <v>1E-3</v>
      </c>
      <c r="I130" s="227">
        <v>8.7800000000000003E-2</v>
      </c>
      <c r="J130" s="227">
        <v>6.1000000000000004E-3</v>
      </c>
      <c r="K130" s="227">
        <v>0</v>
      </c>
      <c r="L130" s="227">
        <v>0.55610000000000004</v>
      </c>
      <c r="M130" s="227">
        <v>5.8999999999999999E-3</v>
      </c>
      <c r="N130" s="225">
        <v>0</v>
      </c>
      <c r="O130" s="225">
        <v>0</v>
      </c>
      <c r="P130" s="225">
        <v>0</v>
      </c>
      <c r="Q130" s="225">
        <v>0</v>
      </c>
    </row>
    <row r="131" spans="1:17">
      <c r="A131" s="224" t="s">
        <v>545</v>
      </c>
      <c r="B131" s="226">
        <v>0.33975694444444443</v>
      </c>
      <c r="C131" s="226">
        <v>0.21278935185185185</v>
      </c>
      <c r="D131" s="225">
        <v>88</v>
      </c>
      <c r="E131" s="227">
        <v>0.73029999999999995</v>
      </c>
      <c r="F131" s="227">
        <v>0.57399999999999995</v>
      </c>
      <c r="G131" s="227">
        <v>0.58289999999999997</v>
      </c>
      <c r="H131" s="227">
        <v>0</v>
      </c>
      <c r="I131" s="227">
        <v>0.22900000000000001</v>
      </c>
      <c r="J131" s="227">
        <v>4.3400000000000001E-2</v>
      </c>
      <c r="K131" s="227">
        <v>0</v>
      </c>
      <c r="L131" s="227">
        <v>0.14280000000000001</v>
      </c>
      <c r="M131" s="227">
        <v>1.9E-3</v>
      </c>
      <c r="N131" s="225">
        <v>4</v>
      </c>
      <c r="O131" s="225">
        <v>4</v>
      </c>
      <c r="P131" s="225">
        <v>0</v>
      </c>
      <c r="Q131" s="225">
        <v>2</v>
      </c>
    </row>
    <row r="132" spans="1:17">
      <c r="A132" s="224" t="s">
        <v>546</v>
      </c>
      <c r="B132" s="226">
        <v>0.33380787037037035</v>
      </c>
      <c r="C132" s="226">
        <v>0.1744212962962963</v>
      </c>
      <c r="D132" s="225">
        <v>89</v>
      </c>
      <c r="E132" s="227">
        <v>0.69059999999999999</v>
      </c>
      <c r="F132" s="227">
        <v>0.4536</v>
      </c>
      <c r="G132" s="227">
        <v>0.48349999999999999</v>
      </c>
      <c r="H132" s="227">
        <v>8.3000000000000001E-3</v>
      </c>
      <c r="I132" s="227">
        <v>0.23019999999999999</v>
      </c>
      <c r="J132" s="227">
        <v>3.0700000000000002E-2</v>
      </c>
      <c r="K132" s="227">
        <v>0</v>
      </c>
      <c r="L132" s="227">
        <v>0.24390000000000001</v>
      </c>
      <c r="M132" s="227">
        <v>3.3E-3</v>
      </c>
      <c r="N132" s="225">
        <v>1</v>
      </c>
      <c r="O132" s="225">
        <v>6</v>
      </c>
      <c r="P132" s="225">
        <v>1</v>
      </c>
      <c r="Q132" s="225">
        <v>0</v>
      </c>
    </row>
    <row r="133" spans="1:17">
      <c r="A133" s="224" t="s">
        <v>547</v>
      </c>
      <c r="B133" s="226">
        <v>0.34012731481481484</v>
      </c>
      <c r="C133" s="226">
        <v>0.11028935185185185</v>
      </c>
      <c r="D133" s="225">
        <v>90</v>
      </c>
      <c r="E133" s="227">
        <v>0.73929999999999996</v>
      </c>
      <c r="F133" s="227">
        <v>0.2969</v>
      </c>
      <c r="G133" s="227">
        <v>0.30159999999999998</v>
      </c>
      <c r="H133" s="227">
        <v>0</v>
      </c>
      <c r="I133" s="227">
        <v>9.0999999999999998E-2</v>
      </c>
      <c r="J133" s="227">
        <v>2.2700000000000001E-2</v>
      </c>
      <c r="K133" s="227">
        <v>0</v>
      </c>
      <c r="L133" s="227">
        <v>0.56420000000000003</v>
      </c>
      <c r="M133" s="227">
        <v>2.06E-2</v>
      </c>
      <c r="N133" s="225">
        <v>1</v>
      </c>
      <c r="O133" s="225">
        <v>4</v>
      </c>
      <c r="P133" s="225">
        <v>0</v>
      </c>
      <c r="Q133" s="225">
        <v>1</v>
      </c>
    </row>
    <row r="134" spans="1:17">
      <c r="A134" s="224" t="s">
        <v>548</v>
      </c>
      <c r="B134" s="226">
        <v>0.33354166666666668</v>
      </c>
      <c r="C134" s="226">
        <v>0.19138888888888889</v>
      </c>
      <c r="D134" s="225">
        <v>91</v>
      </c>
      <c r="E134" s="227">
        <v>0.67500000000000004</v>
      </c>
      <c r="F134" s="227">
        <v>0.55730000000000002</v>
      </c>
      <c r="G134" s="227">
        <v>0.56130000000000002</v>
      </c>
      <c r="H134" s="227">
        <v>0</v>
      </c>
      <c r="I134" s="227">
        <v>0.26840000000000003</v>
      </c>
      <c r="J134" s="227">
        <v>1.2500000000000001E-2</v>
      </c>
      <c r="K134" s="227">
        <v>0</v>
      </c>
      <c r="L134" s="227">
        <v>0.15490000000000001</v>
      </c>
      <c r="M134" s="227">
        <v>2.8E-3</v>
      </c>
      <c r="N134" s="225">
        <v>1</v>
      </c>
      <c r="O134" s="225">
        <v>0</v>
      </c>
      <c r="P134" s="225">
        <v>0</v>
      </c>
      <c r="Q134" s="225">
        <v>0</v>
      </c>
    </row>
    <row r="135" spans="1:17">
      <c r="A135" s="224" t="s">
        <v>549</v>
      </c>
      <c r="B135" s="226">
        <v>0.3357175925925926</v>
      </c>
      <c r="C135" s="226">
        <v>0.12403935185185185</v>
      </c>
      <c r="D135" s="225">
        <v>92</v>
      </c>
      <c r="E135" s="227">
        <v>0.71509999999999996</v>
      </c>
      <c r="F135" s="227">
        <v>0.33279999999999998</v>
      </c>
      <c r="G135" s="227">
        <v>0.3377</v>
      </c>
      <c r="H135" s="227">
        <v>2.9999999999999997E-4</v>
      </c>
      <c r="I135" s="227">
        <v>0.1348</v>
      </c>
      <c r="J135" s="227">
        <v>3.15E-2</v>
      </c>
      <c r="K135" s="227">
        <v>0</v>
      </c>
      <c r="L135" s="227">
        <v>0.49009999999999998</v>
      </c>
      <c r="M135" s="227">
        <v>5.5999999999999999E-3</v>
      </c>
      <c r="N135" s="225">
        <v>0</v>
      </c>
      <c r="O135" s="225">
        <v>5</v>
      </c>
      <c r="P135" s="225">
        <v>0</v>
      </c>
      <c r="Q135" s="225">
        <v>0</v>
      </c>
    </row>
    <row r="136" spans="1:17">
      <c r="A136" s="224" t="s">
        <v>550</v>
      </c>
      <c r="B136" s="226">
        <v>0.33687499999999998</v>
      </c>
      <c r="C136" s="226">
        <v>0.17017361111111112</v>
      </c>
      <c r="D136" s="225">
        <v>93</v>
      </c>
      <c r="E136" s="227">
        <v>0.70309999999999995</v>
      </c>
      <c r="F136" s="227">
        <v>0.4723</v>
      </c>
      <c r="G136" s="227">
        <v>0.48070000000000002</v>
      </c>
      <c r="H136" s="227">
        <v>5.5999999999999999E-3</v>
      </c>
      <c r="I136" s="227">
        <v>0.2107</v>
      </c>
      <c r="J136" s="227">
        <v>1.89E-2</v>
      </c>
      <c r="K136" s="227">
        <v>0</v>
      </c>
      <c r="L136" s="227">
        <v>0.28210000000000002</v>
      </c>
      <c r="M136" s="227">
        <v>2E-3</v>
      </c>
      <c r="N136" s="225">
        <v>0</v>
      </c>
      <c r="O136" s="225">
        <v>2</v>
      </c>
      <c r="P136" s="225">
        <v>2</v>
      </c>
      <c r="Q136" s="225">
        <v>0</v>
      </c>
    </row>
    <row r="137" spans="1:17">
      <c r="A137" s="224" t="s">
        <v>551</v>
      </c>
      <c r="B137" s="226">
        <v>0.33709490740740738</v>
      </c>
      <c r="C137" s="226">
        <v>0.18885416666666666</v>
      </c>
      <c r="D137" s="225">
        <v>94</v>
      </c>
      <c r="E137" s="227">
        <v>0.75770000000000004</v>
      </c>
      <c r="F137" s="227">
        <v>0.5111</v>
      </c>
      <c r="G137" s="227">
        <v>0.51949999999999996</v>
      </c>
      <c r="H137" s="227">
        <v>2E-3</v>
      </c>
      <c r="I137" s="227">
        <v>0.1744</v>
      </c>
      <c r="J137" s="227">
        <v>3.8800000000000001E-2</v>
      </c>
      <c r="K137" s="227">
        <v>0</v>
      </c>
      <c r="L137" s="227">
        <v>0.26100000000000001</v>
      </c>
      <c r="M137" s="227">
        <v>4.3E-3</v>
      </c>
      <c r="N137" s="225">
        <v>1</v>
      </c>
      <c r="O137" s="225">
        <v>5</v>
      </c>
      <c r="P137" s="225">
        <v>0</v>
      </c>
      <c r="Q137" s="225">
        <v>0</v>
      </c>
    </row>
    <row r="138" spans="1:17">
      <c r="A138" s="224" t="s">
        <v>552</v>
      </c>
      <c r="B138" s="226">
        <v>0.34307870370370369</v>
      </c>
      <c r="C138" s="226">
        <v>0.22166666666666668</v>
      </c>
      <c r="D138" s="225">
        <v>95</v>
      </c>
      <c r="E138" s="227">
        <v>0.74880000000000002</v>
      </c>
      <c r="F138" s="227">
        <v>0.58889999999999998</v>
      </c>
      <c r="G138" s="227">
        <v>0.59870000000000001</v>
      </c>
      <c r="H138" s="227">
        <v>1E-4</v>
      </c>
      <c r="I138" s="227">
        <v>0.20699999999999999</v>
      </c>
      <c r="J138" s="227">
        <v>4.7300000000000002E-2</v>
      </c>
      <c r="K138" s="227">
        <v>0</v>
      </c>
      <c r="L138" s="227">
        <v>0.1381</v>
      </c>
      <c r="M138" s="227">
        <v>8.6999999999999994E-3</v>
      </c>
      <c r="N138" s="225">
        <v>2</v>
      </c>
      <c r="O138" s="225">
        <v>5</v>
      </c>
      <c r="P138" s="225">
        <v>0</v>
      </c>
      <c r="Q138" s="225">
        <v>0</v>
      </c>
    </row>
    <row r="139" spans="1:17">
      <c r="A139" s="224" t="s">
        <v>553</v>
      </c>
      <c r="B139" s="226">
        <v>0.31192129629629628</v>
      </c>
      <c r="C139" s="226">
        <v>0.12112268518518518</v>
      </c>
      <c r="D139" s="225">
        <v>96</v>
      </c>
      <c r="E139" s="227">
        <v>0.78180000000000005</v>
      </c>
      <c r="F139" s="227">
        <v>0.34289999999999998</v>
      </c>
      <c r="G139" s="227">
        <v>0.34589999999999999</v>
      </c>
      <c r="H139" s="227">
        <v>0</v>
      </c>
      <c r="I139" s="227">
        <v>0.1038</v>
      </c>
      <c r="J139" s="227">
        <v>4.24E-2</v>
      </c>
      <c r="K139" s="227">
        <v>0</v>
      </c>
      <c r="L139" s="227">
        <v>0.50509999999999999</v>
      </c>
      <c r="M139" s="227">
        <v>2.8E-3</v>
      </c>
      <c r="N139" s="225">
        <v>0</v>
      </c>
      <c r="O139" s="225">
        <v>5</v>
      </c>
      <c r="P139" s="225">
        <v>0</v>
      </c>
      <c r="Q139" s="225">
        <v>0</v>
      </c>
    </row>
    <row r="140" spans="1:17">
      <c r="A140" s="224" t="s">
        <v>554</v>
      </c>
      <c r="B140" s="226">
        <v>0.3568634259259259</v>
      </c>
      <c r="C140" s="226">
        <v>0.19224537037037037</v>
      </c>
      <c r="D140" s="225">
        <v>97</v>
      </c>
      <c r="E140" s="227">
        <v>0.73080000000000001</v>
      </c>
      <c r="F140" s="227">
        <v>0.4975</v>
      </c>
      <c r="G140" s="227">
        <v>0.5</v>
      </c>
      <c r="H140" s="227">
        <v>2.9999999999999997E-4</v>
      </c>
      <c r="I140" s="227">
        <v>0.19059999999999999</v>
      </c>
      <c r="J140" s="227">
        <v>3.8399999999999997E-2</v>
      </c>
      <c r="K140" s="227">
        <v>0</v>
      </c>
      <c r="L140" s="227">
        <v>0.26679999999999998</v>
      </c>
      <c r="M140" s="227">
        <v>3.8999999999999998E-3</v>
      </c>
      <c r="N140" s="225">
        <v>0</v>
      </c>
      <c r="O140" s="225">
        <v>6</v>
      </c>
      <c r="P140" s="225">
        <v>0</v>
      </c>
      <c r="Q140" s="225">
        <v>1</v>
      </c>
    </row>
    <row r="141" spans="1:17">
      <c r="A141" s="224" t="s">
        <v>555</v>
      </c>
      <c r="B141" s="226">
        <v>0.34392361111111114</v>
      </c>
      <c r="C141" s="226">
        <v>0.20146990740740742</v>
      </c>
      <c r="D141" s="225">
        <v>98</v>
      </c>
      <c r="E141" s="227">
        <v>0.6825</v>
      </c>
      <c r="F141" s="227">
        <v>0.52429999999999999</v>
      </c>
      <c r="G141" s="227">
        <v>0.53580000000000005</v>
      </c>
      <c r="H141" s="227">
        <v>1.6199999999999999E-2</v>
      </c>
      <c r="I141" s="227">
        <v>0.26590000000000003</v>
      </c>
      <c r="J141" s="227">
        <v>3.39E-2</v>
      </c>
      <c r="K141" s="227">
        <v>0</v>
      </c>
      <c r="L141" s="227">
        <v>0.14199999999999999</v>
      </c>
      <c r="M141" s="227">
        <v>6.3E-3</v>
      </c>
      <c r="N141" s="225">
        <v>2</v>
      </c>
      <c r="O141" s="225">
        <v>3</v>
      </c>
      <c r="P141" s="225">
        <v>1</v>
      </c>
      <c r="Q141" s="225">
        <v>0</v>
      </c>
    </row>
    <row r="142" spans="1:17">
      <c r="A142" s="224" t="s">
        <v>556</v>
      </c>
      <c r="B142" s="226">
        <v>0.34658564814814813</v>
      </c>
      <c r="C142" s="226">
        <v>0.12475694444444445</v>
      </c>
      <c r="D142" s="225">
        <v>99</v>
      </c>
      <c r="E142" s="227">
        <v>0.79290000000000005</v>
      </c>
      <c r="F142" s="227">
        <v>0.31069999999999998</v>
      </c>
      <c r="G142" s="227">
        <v>0.3296</v>
      </c>
      <c r="H142" s="227">
        <v>1.15E-2</v>
      </c>
      <c r="I142" s="227">
        <v>9.1499999999999998E-2</v>
      </c>
      <c r="J142" s="227">
        <v>1.8800000000000001E-2</v>
      </c>
      <c r="K142" s="227">
        <v>0</v>
      </c>
      <c r="L142" s="227">
        <v>0.54620000000000002</v>
      </c>
      <c r="M142" s="227">
        <v>2.3E-3</v>
      </c>
      <c r="N142" s="225">
        <v>0</v>
      </c>
      <c r="O142" s="225">
        <v>2</v>
      </c>
      <c r="P142" s="225">
        <v>2</v>
      </c>
      <c r="Q142" s="225">
        <v>0</v>
      </c>
    </row>
    <row r="143" spans="1:17">
      <c r="A143" s="224" t="s">
        <v>557</v>
      </c>
      <c r="B143" s="226">
        <v>0.34281250000000002</v>
      </c>
      <c r="C143" s="226">
        <v>0.22505787037037037</v>
      </c>
      <c r="D143" s="225">
        <v>100</v>
      </c>
      <c r="E143" s="227">
        <v>0.75480000000000003</v>
      </c>
      <c r="F143" s="227">
        <v>0.58460000000000001</v>
      </c>
      <c r="G143" s="227">
        <v>0.59570000000000001</v>
      </c>
      <c r="H143" s="227">
        <v>1E-4</v>
      </c>
      <c r="I143" s="227">
        <v>0.17380000000000001</v>
      </c>
      <c r="J143" s="227">
        <v>5.8500000000000003E-2</v>
      </c>
      <c r="K143" s="227">
        <v>0</v>
      </c>
      <c r="L143" s="227">
        <v>0.15140000000000001</v>
      </c>
      <c r="M143" s="227">
        <v>2.0500000000000001E-2</v>
      </c>
      <c r="N143" s="225">
        <v>2</v>
      </c>
      <c r="O143" s="225">
        <v>10</v>
      </c>
      <c r="P143" s="225">
        <v>0</v>
      </c>
      <c r="Q143" s="225">
        <v>1</v>
      </c>
    </row>
    <row r="144" spans="1:17">
      <c r="A144" s="224" t="s">
        <v>558</v>
      </c>
      <c r="B144" s="226">
        <v>0.35055555555555556</v>
      </c>
      <c r="C144" s="226">
        <v>0.11953703703703704</v>
      </c>
      <c r="D144" s="225">
        <v>101</v>
      </c>
      <c r="E144" s="227">
        <v>0.85260000000000002</v>
      </c>
      <c r="F144" s="227">
        <v>0.31690000000000002</v>
      </c>
      <c r="G144" s="227">
        <v>0.32319999999999999</v>
      </c>
      <c r="H144" s="227">
        <v>8.3000000000000001E-3</v>
      </c>
      <c r="I144" s="227">
        <v>5.1400000000000001E-2</v>
      </c>
      <c r="J144" s="227">
        <v>9.4999999999999998E-3</v>
      </c>
      <c r="K144" s="227">
        <v>0</v>
      </c>
      <c r="L144" s="227">
        <v>0.60140000000000005</v>
      </c>
      <c r="M144" s="227">
        <v>6.1999999999999998E-3</v>
      </c>
      <c r="N144" s="225">
        <v>3</v>
      </c>
      <c r="O144" s="225">
        <v>1</v>
      </c>
      <c r="P144" s="225">
        <v>2</v>
      </c>
      <c r="Q144" s="225">
        <v>0</v>
      </c>
    </row>
    <row r="145" spans="1:17">
      <c r="A145" s="224" t="s">
        <v>559</v>
      </c>
      <c r="B145" s="226">
        <v>0.34575231481481483</v>
      </c>
      <c r="C145" s="226">
        <v>0.20268518518518519</v>
      </c>
      <c r="D145" s="225">
        <v>102</v>
      </c>
      <c r="E145" s="227">
        <v>0.68510000000000004</v>
      </c>
      <c r="F145" s="227">
        <v>0.56379999999999997</v>
      </c>
      <c r="G145" s="227">
        <v>0.56579999999999997</v>
      </c>
      <c r="H145" s="227">
        <v>0</v>
      </c>
      <c r="I145" s="227">
        <v>0.2646</v>
      </c>
      <c r="J145" s="227">
        <v>2.0400000000000001E-2</v>
      </c>
      <c r="K145" s="227">
        <v>0</v>
      </c>
      <c r="L145" s="227">
        <v>0.1447</v>
      </c>
      <c r="M145" s="227">
        <v>4.4000000000000003E-3</v>
      </c>
      <c r="N145" s="225">
        <v>0</v>
      </c>
      <c r="O145" s="225">
        <v>1</v>
      </c>
      <c r="P145" s="225">
        <v>0</v>
      </c>
      <c r="Q145" s="225">
        <v>0</v>
      </c>
    </row>
    <row r="146" spans="1:17">
      <c r="A146" s="224" t="s">
        <v>560</v>
      </c>
      <c r="B146" s="226">
        <v>0.35479166666666667</v>
      </c>
      <c r="C146" s="226">
        <v>0.21916666666666668</v>
      </c>
      <c r="D146" s="225">
        <v>103</v>
      </c>
      <c r="E146" s="227">
        <v>0.69220000000000004</v>
      </c>
      <c r="F146" s="227">
        <v>0.54779999999999995</v>
      </c>
      <c r="G146" s="227">
        <v>0.55579999999999996</v>
      </c>
      <c r="H146" s="227">
        <v>0</v>
      </c>
      <c r="I146" s="227">
        <v>0.26869999999999999</v>
      </c>
      <c r="J146" s="227">
        <v>6.1899999999999997E-2</v>
      </c>
      <c r="K146" s="227">
        <v>0</v>
      </c>
      <c r="L146" s="227">
        <v>0.10979999999999999</v>
      </c>
      <c r="M146" s="227">
        <v>3.8E-3</v>
      </c>
      <c r="N146" s="225">
        <v>0</v>
      </c>
      <c r="O146" s="225">
        <v>7</v>
      </c>
      <c r="P146" s="225">
        <v>0</v>
      </c>
      <c r="Q146" s="225">
        <v>0</v>
      </c>
    </row>
    <row r="147" spans="1:17">
      <c r="A147" s="224" t="s">
        <v>561</v>
      </c>
      <c r="B147" s="226">
        <v>0.36542824074074076</v>
      </c>
      <c r="C147" s="226">
        <v>0.15059027777777778</v>
      </c>
      <c r="D147" s="225">
        <v>104</v>
      </c>
      <c r="E147" s="227">
        <v>0.75760000000000005</v>
      </c>
      <c r="F147" s="227">
        <v>0.37969999999999998</v>
      </c>
      <c r="G147" s="227">
        <v>0.38419999999999999</v>
      </c>
      <c r="H147" s="227">
        <v>1E-4</v>
      </c>
      <c r="I147" s="227">
        <v>0.1249</v>
      </c>
      <c r="J147" s="227">
        <v>2.7900000000000001E-2</v>
      </c>
      <c r="K147" s="227">
        <v>0</v>
      </c>
      <c r="L147" s="227">
        <v>0.46079999999999999</v>
      </c>
      <c r="M147" s="227">
        <v>2.0999999999999999E-3</v>
      </c>
      <c r="N147" s="225">
        <v>2</v>
      </c>
      <c r="O147" s="225">
        <v>5</v>
      </c>
      <c r="P147" s="225">
        <v>0</v>
      </c>
      <c r="Q147" s="225">
        <v>0</v>
      </c>
    </row>
    <row r="148" spans="1:17">
      <c r="A148" s="224" t="s">
        <v>562</v>
      </c>
      <c r="B148" s="226">
        <v>0.34370370370370368</v>
      </c>
      <c r="C148" s="226">
        <v>0.21891203703703704</v>
      </c>
      <c r="D148" s="225">
        <v>105</v>
      </c>
      <c r="E148" s="227">
        <v>0.74109999999999998</v>
      </c>
      <c r="F148" s="227">
        <v>0.56530000000000002</v>
      </c>
      <c r="G148" s="227">
        <v>0.57399999999999995</v>
      </c>
      <c r="H148" s="227">
        <v>1.5E-3</v>
      </c>
      <c r="I148" s="227">
        <v>0.21049999999999999</v>
      </c>
      <c r="J148" s="227">
        <v>6.1400000000000003E-2</v>
      </c>
      <c r="K148" s="227">
        <v>0</v>
      </c>
      <c r="L148" s="227">
        <v>0.14580000000000001</v>
      </c>
      <c r="M148" s="227">
        <v>6.7999999999999996E-3</v>
      </c>
      <c r="N148" s="225">
        <v>0</v>
      </c>
      <c r="O148" s="225">
        <v>12</v>
      </c>
      <c r="P148" s="225">
        <v>1</v>
      </c>
      <c r="Q148" s="225">
        <v>0</v>
      </c>
    </row>
    <row r="149" spans="1:17">
      <c r="A149" s="224" t="s">
        <v>563</v>
      </c>
      <c r="B149" s="226">
        <v>0.20827546296296295</v>
      </c>
      <c r="C149" s="226">
        <v>0.1310300925925926</v>
      </c>
      <c r="D149" s="225">
        <v>106</v>
      </c>
      <c r="E149" s="227">
        <v>0.66200000000000003</v>
      </c>
      <c r="F149" s="227">
        <v>0.60260000000000002</v>
      </c>
      <c r="G149" s="227">
        <v>0.60960000000000003</v>
      </c>
      <c r="H149" s="227">
        <v>2.0000000000000001E-4</v>
      </c>
      <c r="I149" s="227">
        <v>0.3034</v>
      </c>
      <c r="J149" s="227">
        <v>1.8599999999999998E-2</v>
      </c>
      <c r="K149" s="227">
        <v>0</v>
      </c>
      <c r="L149" s="227">
        <v>5.0200000000000002E-2</v>
      </c>
      <c r="M149" s="227">
        <v>1.8100000000000002E-2</v>
      </c>
      <c r="N149" s="225">
        <v>0</v>
      </c>
      <c r="O149" s="225">
        <v>1</v>
      </c>
      <c r="P149" s="225">
        <v>0</v>
      </c>
      <c r="Q149" s="225">
        <v>4</v>
      </c>
    </row>
    <row r="150" spans="1:17">
      <c r="A150" s="224" t="s">
        <v>564</v>
      </c>
      <c r="B150" s="226">
        <v>0.35688657407407409</v>
      </c>
      <c r="C150" s="226">
        <v>0.19362268518518519</v>
      </c>
      <c r="D150" s="225">
        <v>107</v>
      </c>
      <c r="E150" s="227">
        <v>0.73799999999999999</v>
      </c>
      <c r="F150" s="227">
        <v>0.49809999999999999</v>
      </c>
      <c r="G150" s="227">
        <v>0.50800000000000001</v>
      </c>
      <c r="H150" s="227">
        <v>2.5000000000000001E-3</v>
      </c>
      <c r="I150" s="227">
        <v>0.18390000000000001</v>
      </c>
      <c r="J150" s="227">
        <v>3.2099999999999997E-2</v>
      </c>
      <c r="K150" s="227">
        <v>0</v>
      </c>
      <c r="L150" s="227">
        <v>0.26629999999999998</v>
      </c>
      <c r="M150" s="227">
        <v>7.1999999999999998E-3</v>
      </c>
      <c r="N150" s="225">
        <v>4</v>
      </c>
      <c r="O150" s="225">
        <v>5</v>
      </c>
      <c r="P150" s="225">
        <v>0</v>
      </c>
      <c r="Q150" s="2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E202-B6A4-43EF-85CF-D4B6FE6F6C36}">
  <dimension ref="A1:J150"/>
  <sheetViews>
    <sheetView topLeftCell="C1" workbookViewId="0">
      <selection activeCell="H5" sqref="H5:I6"/>
    </sheetView>
  </sheetViews>
  <sheetFormatPr defaultRowHeight="15"/>
  <cols>
    <col min="1" max="1" width="29.85546875" bestFit="1" customWidth="1"/>
    <col min="2" max="2" width="14.42578125" bestFit="1" customWidth="1"/>
    <col min="3" max="3" width="16.42578125" bestFit="1" customWidth="1"/>
    <col min="4" max="4" width="16.5703125" bestFit="1" customWidth="1"/>
    <col min="5" max="5" width="15" bestFit="1" customWidth="1"/>
    <col min="6" max="6" width="10.140625" bestFit="1" customWidth="1"/>
    <col min="7" max="7" width="17.5703125" bestFit="1" customWidth="1"/>
    <col min="8" max="8" width="24.5703125" bestFit="1" customWidth="1"/>
    <col min="9" max="9" width="23.28515625" bestFit="1" customWidth="1"/>
    <col min="10" max="10" width="20.140625" bestFit="1" customWidth="1"/>
  </cols>
  <sheetData>
    <row r="1" spans="1:10">
      <c r="A1" s="223" t="s">
        <v>565</v>
      </c>
      <c r="B1" s="223" t="s">
        <v>568</v>
      </c>
      <c r="C1" s="223" t="s">
        <v>582</v>
      </c>
      <c r="D1" s="223" t="s">
        <v>583</v>
      </c>
      <c r="E1" s="223" t="s">
        <v>584</v>
      </c>
      <c r="F1" s="223" t="s">
        <v>585</v>
      </c>
      <c r="G1" s="223" t="s">
        <v>586</v>
      </c>
      <c r="H1" s="223" t="s">
        <v>587</v>
      </c>
      <c r="I1" s="223" t="s">
        <v>588</v>
      </c>
      <c r="J1" s="223" t="s">
        <v>589</v>
      </c>
    </row>
    <row r="2" spans="1:10">
      <c r="A2" s="224" t="s">
        <v>416</v>
      </c>
      <c r="B2" s="225">
        <v>98</v>
      </c>
      <c r="C2" s="227">
        <v>0</v>
      </c>
      <c r="D2" s="227">
        <v>0</v>
      </c>
      <c r="E2" s="227">
        <v>0</v>
      </c>
      <c r="F2" s="227">
        <v>0.10290000000000001</v>
      </c>
      <c r="G2" s="227">
        <v>0</v>
      </c>
      <c r="H2" s="226">
        <v>2.9282407407407408E-3</v>
      </c>
      <c r="I2" s="226">
        <v>1.1574074074074073E-5</v>
      </c>
      <c r="J2" s="226">
        <v>1.0416666666666667E-4</v>
      </c>
    </row>
    <row r="3" spans="1:10">
      <c r="A3" s="224" t="s">
        <v>417</v>
      </c>
      <c r="B3" s="225">
        <v>23</v>
      </c>
      <c r="C3" s="227">
        <v>0</v>
      </c>
      <c r="D3" s="227">
        <v>0</v>
      </c>
      <c r="E3" s="227">
        <v>0</v>
      </c>
      <c r="F3" s="227">
        <v>0.10290000000000001</v>
      </c>
      <c r="G3" s="227">
        <v>0</v>
      </c>
      <c r="H3" s="226">
        <v>2.9282407407407408E-3</v>
      </c>
      <c r="I3" s="226">
        <v>1.1574074074074073E-5</v>
      </c>
      <c r="J3" s="226">
        <v>1.0416666666666667E-4</v>
      </c>
    </row>
    <row r="4" spans="1:10">
      <c r="A4" s="224" t="s">
        <v>418</v>
      </c>
      <c r="B4" s="225">
        <v>28</v>
      </c>
      <c r="C4" s="227">
        <v>1.47E-2</v>
      </c>
      <c r="D4" s="227">
        <v>0</v>
      </c>
      <c r="E4" s="227">
        <v>0</v>
      </c>
      <c r="F4" s="227">
        <v>7.3499999999999996E-2</v>
      </c>
      <c r="G4" s="227">
        <v>0</v>
      </c>
      <c r="H4" s="226">
        <v>2.8935185185185184E-3</v>
      </c>
      <c r="I4" s="226">
        <v>0</v>
      </c>
      <c r="J4" s="226">
        <v>8.1018518518518516E-5</v>
      </c>
    </row>
    <row r="5" spans="1:10">
      <c r="A5" s="224" t="s">
        <v>419</v>
      </c>
      <c r="B5" s="225">
        <v>29</v>
      </c>
      <c r="C5" s="227">
        <v>1.47E-2</v>
      </c>
      <c r="D5" s="227">
        <v>0</v>
      </c>
      <c r="E5" s="227">
        <v>0</v>
      </c>
      <c r="F5" s="227">
        <v>7.3499999999999996E-2</v>
      </c>
      <c r="G5" s="227">
        <v>0</v>
      </c>
      <c r="H5" s="226">
        <v>2.8935185185185184E-3</v>
      </c>
      <c r="I5" s="226">
        <v>0</v>
      </c>
      <c r="J5" s="226">
        <v>8.1018518518518516E-5</v>
      </c>
    </row>
    <row r="6" spans="1:10">
      <c r="A6" s="224" t="s">
        <v>420</v>
      </c>
      <c r="B6" s="225">
        <v>93</v>
      </c>
      <c r="C6" s="227">
        <v>8.3299999999999999E-2</v>
      </c>
      <c r="D6" s="227">
        <v>0</v>
      </c>
      <c r="E6" s="227">
        <v>0</v>
      </c>
      <c r="F6" s="227">
        <v>0.16669999999999999</v>
      </c>
      <c r="G6" s="227">
        <v>0.1</v>
      </c>
      <c r="H6" s="226">
        <v>3.0671296296296297E-3</v>
      </c>
      <c r="I6" s="226">
        <v>6.8287037037037036E-4</v>
      </c>
      <c r="J6" s="226">
        <v>1.273148148148148E-4</v>
      </c>
    </row>
    <row r="7" spans="1:10">
      <c r="A7" s="224" t="s">
        <v>421</v>
      </c>
      <c r="B7" s="225">
        <v>92</v>
      </c>
      <c r="C7" s="227">
        <v>8.3299999999999999E-2</v>
      </c>
      <c r="D7" s="227">
        <v>0</v>
      </c>
      <c r="E7" s="227">
        <v>0</v>
      </c>
      <c r="F7" s="227">
        <v>0.16669999999999999</v>
      </c>
      <c r="G7" s="227">
        <v>0.1</v>
      </c>
      <c r="H7" s="226">
        <v>3.0671296296296297E-3</v>
      </c>
      <c r="I7" s="226">
        <v>6.8287037037037036E-4</v>
      </c>
      <c r="J7" s="226">
        <v>1.273148148148148E-4</v>
      </c>
    </row>
    <row r="8" spans="1:10">
      <c r="A8" s="224" t="s">
        <v>422</v>
      </c>
      <c r="B8" s="225">
        <v>26</v>
      </c>
      <c r="C8" s="227">
        <v>5.45E-2</v>
      </c>
      <c r="D8" s="227">
        <v>0</v>
      </c>
      <c r="E8" s="227">
        <v>1.7899999999999999E-2</v>
      </c>
      <c r="F8" s="227">
        <v>0.1091</v>
      </c>
      <c r="G8" s="227">
        <v>0</v>
      </c>
      <c r="H8" s="226">
        <v>3.0787037037037037E-3</v>
      </c>
      <c r="I8" s="226">
        <v>0</v>
      </c>
      <c r="J8" s="226">
        <v>1.6203703703703703E-4</v>
      </c>
    </row>
    <row r="9" spans="1:10">
      <c r="A9" s="224" t="s">
        <v>423</v>
      </c>
      <c r="B9" s="225">
        <v>90</v>
      </c>
      <c r="C9" s="227">
        <v>5.45E-2</v>
      </c>
      <c r="D9" s="227">
        <v>0</v>
      </c>
      <c r="E9" s="227">
        <v>1.7899999999999999E-2</v>
      </c>
      <c r="F9" s="227">
        <v>0.1091</v>
      </c>
      <c r="G9" s="227">
        <v>0</v>
      </c>
      <c r="H9" s="226">
        <v>3.0787037037037037E-3</v>
      </c>
      <c r="I9" s="226">
        <v>0</v>
      </c>
      <c r="J9" s="226">
        <v>1.6203703703703703E-4</v>
      </c>
    </row>
    <row r="10" spans="1:10">
      <c r="A10" s="224" t="s">
        <v>424</v>
      </c>
      <c r="B10" s="225">
        <v>89</v>
      </c>
      <c r="C10" s="227">
        <v>0</v>
      </c>
      <c r="D10" s="227">
        <v>0</v>
      </c>
      <c r="E10" s="227">
        <v>0</v>
      </c>
      <c r="F10" s="227">
        <v>6.8199999999999997E-2</v>
      </c>
      <c r="G10" s="227">
        <v>0</v>
      </c>
      <c r="H10" s="226">
        <v>2.3842592592592591E-3</v>
      </c>
      <c r="I10" s="226">
        <v>3.4722222222222222E-5</v>
      </c>
      <c r="J10" s="226">
        <v>1.1574074074074075E-4</v>
      </c>
    </row>
    <row r="11" spans="1:10">
      <c r="A11" s="224" t="s">
        <v>425</v>
      </c>
      <c r="B11" s="225">
        <v>54</v>
      </c>
      <c r="C11" s="227">
        <v>0</v>
      </c>
      <c r="D11" s="227">
        <v>0</v>
      </c>
      <c r="E11" s="227">
        <v>0</v>
      </c>
      <c r="F11" s="227">
        <v>6.8199999999999997E-2</v>
      </c>
      <c r="G11" s="227">
        <v>0</v>
      </c>
      <c r="H11" s="226">
        <v>2.3842592592592591E-3</v>
      </c>
      <c r="I11" s="226">
        <v>3.4722222222222222E-5</v>
      </c>
      <c r="J11" s="226">
        <v>1.1574074074074075E-4</v>
      </c>
    </row>
    <row r="12" spans="1:10">
      <c r="A12" s="224" t="s">
        <v>426</v>
      </c>
      <c r="B12" s="225">
        <v>87</v>
      </c>
      <c r="C12" s="227">
        <v>0</v>
      </c>
      <c r="D12" s="227">
        <v>0</v>
      </c>
      <c r="E12" s="227">
        <v>0</v>
      </c>
      <c r="F12" s="227">
        <v>6.5199999999999994E-2</v>
      </c>
      <c r="G12" s="227">
        <v>0</v>
      </c>
      <c r="H12" s="226">
        <v>2.7083333333333334E-3</v>
      </c>
      <c r="I12" s="226">
        <v>5.9027777777777778E-4</v>
      </c>
      <c r="J12" s="226">
        <v>3.1250000000000001E-4</v>
      </c>
    </row>
    <row r="13" spans="1:10">
      <c r="A13" s="224" t="s">
        <v>427</v>
      </c>
      <c r="B13" s="225">
        <v>65</v>
      </c>
      <c r="C13" s="227">
        <v>0</v>
      </c>
      <c r="D13" s="227">
        <v>0</v>
      </c>
      <c r="E13" s="227">
        <v>0</v>
      </c>
      <c r="F13" s="227">
        <v>6.5199999999999994E-2</v>
      </c>
      <c r="G13" s="227">
        <v>0</v>
      </c>
      <c r="H13" s="226">
        <v>2.7083333333333334E-3</v>
      </c>
      <c r="I13" s="226">
        <v>5.9027777777777778E-4</v>
      </c>
      <c r="J13" s="226">
        <v>3.1250000000000001E-4</v>
      </c>
    </row>
    <row r="14" spans="1:10">
      <c r="A14" s="224" t="s">
        <v>428</v>
      </c>
      <c r="B14" s="225">
        <v>85</v>
      </c>
      <c r="C14" s="227">
        <v>0</v>
      </c>
      <c r="D14" s="227">
        <v>0</v>
      </c>
      <c r="E14" s="227">
        <v>0</v>
      </c>
      <c r="F14" s="227">
        <v>7.6899999999999996E-2</v>
      </c>
      <c r="G14" s="227">
        <v>0</v>
      </c>
      <c r="H14" s="226">
        <v>2.8587962962962963E-3</v>
      </c>
      <c r="I14" s="226">
        <v>0</v>
      </c>
      <c r="J14" s="226">
        <v>4.6296296296296294E-5</v>
      </c>
    </row>
    <row r="15" spans="1:10">
      <c r="A15" s="224" t="s">
        <v>429</v>
      </c>
      <c r="B15" s="225">
        <v>65</v>
      </c>
      <c r="C15" s="227">
        <v>0</v>
      </c>
      <c r="D15" s="227">
        <v>0</v>
      </c>
      <c r="E15" s="227">
        <v>0</v>
      </c>
      <c r="F15" s="227">
        <v>7.6899999999999996E-2</v>
      </c>
      <c r="G15" s="227">
        <v>0</v>
      </c>
      <c r="H15" s="226">
        <v>2.8587962962962963E-3</v>
      </c>
      <c r="I15" s="226">
        <v>0</v>
      </c>
      <c r="J15" s="226">
        <v>4.6296296296296294E-5</v>
      </c>
    </row>
    <row r="16" spans="1:10">
      <c r="A16" s="224" t="s">
        <v>430</v>
      </c>
      <c r="B16" s="225">
        <v>83</v>
      </c>
      <c r="C16" s="227">
        <v>9.64E-2</v>
      </c>
      <c r="D16" s="227">
        <v>0</v>
      </c>
      <c r="E16" s="227">
        <v>1.1900000000000001E-2</v>
      </c>
      <c r="F16" s="227">
        <v>0.13250000000000001</v>
      </c>
      <c r="G16" s="227">
        <v>9.0899999999999995E-2</v>
      </c>
      <c r="H16" s="226">
        <v>2.7083333333333334E-3</v>
      </c>
      <c r="I16" s="226">
        <v>3.0092592592592595E-4</v>
      </c>
      <c r="J16" s="226">
        <v>1.8518518518518518E-4</v>
      </c>
    </row>
    <row r="17" spans="1:10">
      <c r="A17" s="224" t="s">
        <v>431</v>
      </c>
      <c r="B17" s="225">
        <v>82</v>
      </c>
      <c r="C17" s="227">
        <v>9.64E-2</v>
      </c>
      <c r="D17" s="227">
        <v>0</v>
      </c>
      <c r="E17" s="227">
        <v>1.1900000000000001E-2</v>
      </c>
      <c r="F17" s="227">
        <v>0.13250000000000001</v>
      </c>
      <c r="G17" s="227">
        <v>9.0899999999999995E-2</v>
      </c>
      <c r="H17" s="226">
        <v>2.7083333333333334E-3</v>
      </c>
      <c r="I17" s="226">
        <v>3.0092592592592595E-4</v>
      </c>
      <c r="J17" s="226">
        <v>1.8518518518518518E-4</v>
      </c>
    </row>
    <row r="18" spans="1:10">
      <c r="A18" s="224" t="s">
        <v>432</v>
      </c>
      <c r="B18" s="225">
        <v>81</v>
      </c>
      <c r="C18" s="227">
        <v>3.0300000000000001E-2</v>
      </c>
      <c r="D18" s="227">
        <v>0</v>
      </c>
      <c r="E18" s="227">
        <v>2.86E-2</v>
      </c>
      <c r="F18" s="227">
        <v>7.5800000000000006E-2</v>
      </c>
      <c r="G18" s="227">
        <v>0</v>
      </c>
      <c r="H18" s="226">
        <v>2.9861111111111113E-3</v>
      </c>
      <c r="I18" s="226">
        <v>4.6296296296296294E-5</v>
      </c>
      <c r="J18" s="226">
        <v>8.1018518518518516E-5</v>
      </c>
    </row>
    <row r="19" spans="1:10">
      <c r="A19" s="224" t="s">
        <v>433</v>
      </c>
      <c r="B19" s="225">
        <v>80</v>
      </c>
      <c r="C19" s="227">
        <v>3.0300000000000001E-2</v>
      </c>
      <c r="D19" s="227">
        <v>0</v>
      </c>
      <c r="E19" s="227">
        <v>2.86E-2</v>
      </c>
      <c r="F19" s="227">
        <v>7.5800000000000006E-2</v>
      </c>
      <c r="G19" s="227">
        <v>0</v>
      </c>
      <c r="H19" s="226">
        <v>2.9861111111111113E-3</v>
      </c>
      <c r="I19" s="226">
        <v>4.6296296296296294E-5</v>
      </c>
      <c r="J19" s="226">
        <v>8.1018518518518516E-5</v>
      </c>
    </row>
    <row r="20" spans="1:10">
      <c r="A20" s="224" t="s">
        <v>434</v>
      </c>
      <c r="B20" s="225">
        <v>79</v>
      </c>
      <c r="C20" s="227">
        <v>5.9700000000000003E-2</v>
      </c>
      <c r="D20" s="227">
        <v>0</v>
      </c>
      <c r="E20" s="227">
        <v>0</v>
      </c>
      <c r="F20" s="227">
        <v>0.1045</v>
      </c>
      <c r="G20" s="227">
        <v>0</v>
      </c>
      <c r="H20" s="226">
        <v>3.0324074074074073E-3</v>
      </c>
      <c r="I20" s="226">
        <v>1.1574074074074073E-5</v>
      </c>
      <c r="J20" s="226">
        <v>4.6296296296296294E-5</v>
      </c>
    </row>
    <row r="21" spans="1:10">
      <c r="A21" s="224" t="s">
        <v>435</v>
      </c>
      <c r="B21" s="225">
        <v>78</v>
      </c>
      <c r="C21" s="227">
        <v>5.9700000000000003E-2</v>
      </c>
      <c r="D21" s="227">
        <v>0</v>
      </c>
      <c r="E21" s="227">
        <v>0</v>
      </c>
      <c r="F21" s="227">
        <v>0.1045</v>
      </c>
      <c r="G21" s="227">
        <v>0</v>
      </c>
      <c r="H21" s="226">
        <v>3.0324074074074073E-3</v>
      </c>
      <c r="I21" s="226">
        <v>1.1574074074074073E-5</v>
      </c>
      <c r="J21" s="226">
        <v>4.6296296296296294E-5</v>
      </c>
    </row>
    <row r="22" spans="1:10">
      <c r="A22" s="224" t="s">
        <v>436</v>
      </c>
      <c r="B22" s="225">
        <v>77</v>
      </c>
      <c r="C22" s="227">
        <v>2.9899999999999999E-2</v>
      </c>
      <c r="D22" s="227">
        <v>0</v>
      </c>
      <c r="E22" s="227">
        <v>0</v>
      </c>
      <c r="F22" s="227">
        <v>0.11940000000000001</v>
      </c>
      <c r="G22" s="227">
        <v>0</v>
      </c>
      <c r="H22" s="226">
        <v>2.8240740740740739E-3</v>
      </c>
      <c r="I22" s="226">
        <v>4.5138888888888887E-4</v>
      </c>
      <c r="J22" s="226">
        <v>1.0416666666666667E-4</v>
      </c>
    </row>
    <row r="23" spans="1:10">
      <c r="A23" s="224" t="s">
        <v>437</v>
      </c>
      <c r="B23" s="225">
        <v>76</v>
      </c>
      <c r="C23" s="227">
        <v>2.9899999999999999E-2</v>
      </c>
      <c r="D23" s="227">
        <v>0</v>
      </c>
      <c r="E23" s="227">
        <v>0</v>
      </c>
      <c r="F23" s="227">
        <v>0.11940000000000001</v>
      </c>
      <c r="G23" s="227">
        <v>0</v>
      </c>
      <c r="H23" s="226">
        <v>2.8240740740740739E-3</v>
      </c>
      <c r="I23" s="226">
        <v>4.5138888888888887E-4</v>
      </c>
      <c r="J23" s="226">
        <v>1.0416666666666667E-4</v>
      </c>
    </row>
    <row r="24" spans="1:10">
      <c r="A24" s="224" t="s">
        <v>438</v>
      </c>
      <c r="B24" s="225">
        <v>75</v>
      </c>
      <c r="C24" s="227">
        <v>7.2700000000000001E-2</v>
      </c>
      <c r="D24" s="227">
        <v>0</v>
      </c>
      <c r="E24" s="227">
        <v>1.7500000000000002E-2</v>
      </c>
      <c r="F24" s="227">
        <v>7.2700000000000001E-2</v>
      </c>
      <c r="G24" s="227">
        <v>0</v>
      </c>
      <c r="H24" s="226">
        <v>2.6041666666666665E-3</v>
      </c>
      <c r="I24" s="226">
        <v>0</v>
      </c>
      <c r="J24" s="226">
        <v>2.6620370370370372E-4</v>
      </c>
    </row>
    <row r="25" spans="1:10">
      <c r="A25" s="224" t="s">
        <v>439</v>
      </c>
      <c r="B25" s="225">
        <v>74</v>
      </c>
      <c r="C25" s="227">
        <v>7.2700000000000001E-2</v>
      </c>
      <c r="D25" s="227">
        <v>0</v>
      </c>
      <c r="E25" s="227">
        <v>1.7500000000000002E-2</v>
      </c>
      <c r="F25" s="227">
        <v>7.2700000000000001E-2</v>
      </c>
      <c r="G25" s="227">
        <v>0</v>
      </c>
      <c r="H25" s="226">
        <v>2.6041666666666665E-3</v>
      </c>
      <c r="I25" s="226">
        <v>0</v>
      </c>
      <c r="J25" s="226">
        <v>2.6620370370370372E-4</v>
      </c>
    </row>
    <row r="26" spans="1:10">
      <c r="A26" s="224" t="s">
        <v>440</v>
      </c>
      <c r="B26" s="225">
        <v>73</v>
      </c>
      <c r="C26" s="227">
        <v>9.0899999999999995E-2</v>
      </c>
      <c r="D26" s="227">
        <v>0</v>
      </c>
      <c r="E26" s="227">
        <v>0</v>
      </c>
      <c r="F26" s="227">
        <v>0.1061</v>
      </c>
      <c r="G26" s="227">
        <v>0</v>
      </c>
      <c r="H26" s="226">
        <v>2.6041666666666665E-3</v>
      </c>
      <c r="I26" s="226">
        <v>1.1574074074074073E-5</v>
      </c>
      <c r="J26" s="226">
        <v>2.8935185185185184E-4</v>
      </c>
    </row>
    <row r="27" spans="1:10">
      <c r="A27" s="224" t="s">
        <v>441</v>
      </c>
      <c r="B27" s="225">
        <v>72</v>
      </c>
      <c r="C27" s="227">
        <v>9.0899999999999995E-2</v>
      </c>
      <c r="D27" s="227">
        <v>0</v>
      </c>
      <c r="E27" s="227">
        <v>0</v>
      </c>
      <c r="F27" s="227">
        <v>0.1061</v>
      </c>
      <c r="G27" s="227">
        <v>0</v>
      </c>
      <c r="H27" s="226">
        <v>2.6041666666666665E-3</v>
      </c>
      <c r="I27" s="226">
        <v>1.1574074074074073E-5</v>
      </c>
      <c r="J27" s="226">
        <v>2.8935185185185184E-4</v>
      </c>
    </row>
    <row r="28" spans="1:10">
      <c r="A28" s="224" t="s">
        <v>442</v>
      </c>
      <c r="B28" s="225">
        <v>71</v>
      </c>
      <c r="C28" s="227">
        <v>8.0600000000000005E-2</v>
      </c>
      <c r="D28" s="227">
        <v>0</v>
      </c>
      <c r="E28" s="227">
        <v>0</v>
      </c>
      <c r="F28" s="227">
        <v>0.1452</v>
      </c>
      <c r="G28" s="227">
        <v>0.1111</v>
      </c>
      <c r="H28" s="226">
        <v>2.8587962962962963E-3</v>
      </c>
      <c r="I28" s="226">
        <v>3.2407407407407406E-4</v>
      </c>
      <c r="J28" s="226">
        <v>2.3148148148148149E-4</v>
      </c>
    </row>
    <row r="29" spans="1:10">
      <c r="A29" s="224" t="s">
        <v>443</v>
      </c>
      <c r="B29" s="225">
        <v>70</v>
      </c>
      <c r="C29" s="227">
        <v>8.0600000000000005E-2</v>
      </c>
      <c r="D29" s="227">
        <v>0</v>
      </c>
      <c r="E29" s="227">
        <v>0</v>
      </c>
      <c r="F29" s="227">
        <v>0.1452</v>
      </c>
      <c r="G29" s="227">
        <v>0.1111</v>
      </c>
      <c r="H29" s="226">
        <v>2.8587962962962963E-3</v>
      </c>
      <c r="I29" s="226">
        <v>3.2407407407407406E-4</v>
      </c>
      <c r="J29" s="226">
        <v>2.3148148148148149E-4</v>
      </c>
    </row>
    <row r="30" spans="1:10">
      <c r="A30" s="224" t="s">
        <v>444</v>
      </c>
      <c r="B30" s="225">
        <v>69</v>
      </c>
      <c r="C30" s="227">
        <v>0.13850000000000001</v>
      </c>
      <c r="D30" s="227">
        <v>0</v>
      </c>
      <c r="E30" s="227">
        <v>1.49E-2</v>
      </c>
      <c r="F30" s="227">
        <v>0.21540000000000001</v>
      </c>
      <c r="G30" s="227">
        <v>0</v>
      </c>
      <c r="H30" s="226">
        <v>2.8587962962962963E-3</v>
      </c>
      <c r="I30" s="226">
        <v>6.9444444444444447E-4</v>
      </c>
      <c r="J30" s="226">
        <v>1.6203703703703703E-4</v>
      </c>
    </row>
    <row r="31" spans="1:10">
      <c r="A31" s="224" t="s">
        <v>445</v>
      </c>
      <c r="B31" s="225">
        <v>68</v>
      </c>
      <c r="C31" s="227">
        <v>0.13850000000000001</v>
      </c>
      <c r="D31" s="227">
        <v>0</v>
      </c>
      <c r="E31" s="227">
        <v>1.49E-2</v>
      </c>
      <c r="F31" s="227">
        <v>0.21540000000000001</v>
      </c>
      <c r="G31" s="227">
        <v>0</v>
      </c>
      <c r="H31" s="226">
        <v>2.8587962962962963E-3</v>
      </c>
      <c r="I31" s="226">
        <v>6.9444444444444447E-4</v>
      </c>
      <c r="J31" s="226">
        <v>1.6203703703703703E-4</v>
      </c>
    </row>
    <row r="32" spans="1:10">
      <c r="A32" s="224" t="s">
        <v>446</v>
      </c>
      <c r="B32" s="225">
        <v>67</v>
      </c>
      <c r="C32" s="227">
        <v>1.7500000000000002E-2</v>
      </c>
      <c r="D32" s="227">
        <v>0</v>
      </c>
      <c r="E32" s="227">
        <v>0</v>
      </c>
      <c r="F32" s="227">
        <v>5.2600000000000001E-2</v>
      </c>
      <c r="G32" s="227">
        <v>0</v>
      </c>
      <c r="H32" s="226">
        <v>2.9282407407407408E-3</v>
      </c>
      <c r="I32" s="226">
        <v>2.3148148148148147E-5</v>
      </c>
      <c r="J32" s="226">
        <v>1.0416666666666667E-4</v>
      </c>
    </row>
    <row r="33" spans="1:10">
      <c r="A33" s="224" t="s">
        <v>447</v>
      </c>
      <c r="B33" s="225">
        <v>66</v>
      </c>
      <c r="C33" s="227">
        <v>1.7500000000000002E-2</v>
      </c>
      <c r="D33" s="227">
        <v>0</v>
      </c>
      <c r="E33" s="227">
        <v>0</v>
      </c>
      <c r="F33" s="227">
        <v>5.2600000000000001E-2</v>
      </c>
      <c r="G33" s="227">
        <v>0</v>
      </c>
      <c r="H33" s="226">
        <v>2.9282407407407408E-3</v>
      </c>
      <c r="I33" s="226">
        <v>2.3148148148148147E-5</v>
      </c>
      <c r="J33" s="226">
        <v>1.0416666666666667E-4</v>
      </c>
    </row>
    <row r="34" spans="1:10">
      <c r="A34" s="224" t="s">
        <v>448</v>
      </c>
      <c r="B34" s="225">
        <v>65</v>
      </c>
      <c r="C34" s="227">
        <v>8.9599999999999999E-2</v>
      </c>
      <c r="D34" s="227">
        <v>0</v>
      </c>
      <c r="E34" s="227">
        <v>1.47E-2</v>
      </c>
      <c r="F34" s="227">
        <v>0.11940000000000001</v>
      </c>
      <c r="G34" s="227">
        <v>0.125</v>
      </c>
      <c r="H34" s="226">
        <v>2.8472222222222223E-3</v>
      </c>
      <c r="I34" s="226">
        <v>0</v>
      </c>
      <c r="J34" s="226">
        <v>6.9444444444444444E-5</v>
      </c>
    </row>
    <row r="35" spans="1:10">
      <c r="A35" s="224" t="s">
        <v>449</v>
      </c>
      <c r="B35" s="225">
        <v>64</v>
      </c>
      <c r="C35" s="227">
        <v>8.9599999999999999E-2</v>
      </c>
      <c r="D35" s="227">
        <v>0</v>
      </c>
      <c r="E35" s="227">
        <v>1.47E-2</v>
      </c>
      <c r="F35" s="227">
        <v>0.11940000000000001</v>
      </c>
      <c r="G35" s="227">
        <v>0.125</v>
      </c>
      <c r="H35" s="226">
        <v>2.8472222222222223E-3</v>
      </c>
      <c r="I35" s="226">
        <v>0</v>
      </c>
      <c r="J35" s="226">
        <v>6.9444444444444444E-5</v>
      </c>
    </row>
    <row r="36" spans="1:10">
      <c r="A36" s="224" t="s">
        <v>450</v>
      </c>
      <c r="B36" s="225">
        <v>63</v>
      </c>
      <c r="C36" s="227">
        <v>0.1406</v>
      </c>
      <c r="D36" s="227">
        <v>0</v>
      </c>
      <c r="E36" s="227">
        <v>0</v>
      </c>
      <c r="F36" s="227">
        <v>0.1719</v>
      </c>
      <c r="G36" s="227">
        <v>0</v>
      </c>
      <c r="H36" s="226">
        <v>3.0902777777777777E-3</v>
      </c>
      <c r="I36" s="226">
        <v>0</v>
      </c>
      <c r="J36" s="226">
        <v>3.4722222222222222E-5</v>
      </c>
    </row>
    <row r="37" spans="1:10">
      <c r="A37" s="224" t="s">
        <v>451</v>
      </c>
      <c r="B37" s="225">
        <v>62</v>
      </c>
      <c r="C37" s="227">
        <v>0.1406</v>
      </c>
      <c r="D37" s="227">
        <v>0</v>
      </c>
      <c r="E37" s="227">
        <v>0</v>
      </c>
      <c r="F37" s="227">
        <v>0.1719</v>
      </c>
      <c r="G37" s="227">
        <v>0</v>
      </c>
      <c r="H37" s="226">
        <v>3.0902777777777777E-3</v>
      </c>
      <c r="I37" s="226">
        <v>0</v>
      </c>
      <c r="J37" s="226">
        <v>3.4722222222222222E-5</v>
      </c>
    </row>
    <row r="38" spans="1:10">
      <c r="A38" s="224" t="s">
        <v>452</v>
      </c>
      <c r="B38" s="225">
        <v>61</v>
      </c>
      <c r="C38" s="227">
        <v>0.10340000000000001</v>
      </c>
      <c r="D38" s="227">
        <v>0</v>
      </c>
      <c r="E38" s="227">
        <v>0</v>
      </c>
      <c r="F38" s="227">
        <v>0.2414</v>
      </c>
      <c r="G38" s="227">
        <v>0</v>
      </c>
      <c r="H38" s="226">
        <v>5.5092592592592589E-3</v>
      </c>
      <c r="I38" s="226">
        <v>1.0648148148148149E-3</v>
      </c>
      <c r="J38" s="226">
        <v>2.8935185185185184E-4</v>
      </c>
    </row>
    <row r="39" spans="1:10">
      <c r="A39" s="224" t="s">
        <v>453</v>
      </c>
      <c r="B39" s="225">
        <v>60</v>
      </c>
      <c r="C39" s="227">
        <v>0.10340000000000001</v>
      </c>
      <c r="D39" s="227">
        <v>0</v>
      </c>
      <c r="E39" s="227">
        <v>0</v>
      </c>
      <c r="F39" s="227">
        <v>0.2414</v>
      </c>
      <c r="G39" s="227">
        <v>0</v>
      </c>
      <c r="H39" s="226">
        <v>5.5092592592592589E-3</v>
      </c>
      <c r="I39" s="226">
        <v>1.0648148148148149E-3</v>
      </c>
      <c r="J39" s="226">
        <v>2.8935185185185184E-4</v>
      </c>
    </row>
    <row r="40" spans="1:10">
      <c r="A40" s="224" t="s">
        <v>454</v>
      </c>
      <c r="B40" s="225">
        <v>59</v>
      </c>
      <c r="C40" s="227">
        <v>7.3499999999999996E-2</v>
      </c>
      <c r="D40" s="227">
        <v>0</v>
      </c>
      <c r="E40" s="227">
        <v>0</v>
      </c>
      <c r="F40" s="227">
        <v>0.1176</v>
      </c>
      <c r="G40" s="227">
        <v>0</v>
      </c>
      <c r="H40" s="226">
        <v>2.8703703703703703E-3</v>
      </c>
      <c r="I40" s="226">
        <v>8.1018518518518516E-5</v>
      </c>
      <c r="J40" s="226">
        <v>5.7870370370370373E-5</v>
      </c>
    </row>
    <row r="41" spans="1:10">
      <c r="A41" s="224" t="s">
        <v>455</v>
      </c>
      <c r="B41" s="225">
        <v>58</v>
      </c>
      <c r="C41" s="227">
        <v>7.3499999999999996E-2</v>
      </c>
      <c r="D41" s="227">
        <v>0</v>
      </c>
      <c r="E41" s="227">
        <v>0</v>
      </c>
      <c r="F41" s="227">
        <v>0.1176</v>
      </c>
      <c r="G41" s="227">
        <v>0</v>
      </c>
      <c r="H41" s="226">
        <v>2.8703703703703703E-3</v>
      </c>
      <c r="I41" s="226">
        <v>8.1018518518518516E-5</v>
      </c>
      <c r="J41" s="226">
        <v>5.7870370370370373E-5</v>
      </c>
    </row>
    <row r="42" spans="1:10">
      <c r="A42" s="224" t="s">
        <v>456</v>
      </c>
      <c r="B42" s="225">
        <v>57</v>
      </c>
      <c r="C42" s="227">
        <v>4.9200000000000001E-2</v>
      </c>
      <c r="D42" s="227">
        <v>0</v>
      </c>
      <c r="E42" s="227">
        <v>0</v>
      </c>
      <c r="F42" s="227">
        <v>9.8400000000000001E-2</v>
      </c>
      <c r="G42" s="227">
        <v>0</v>
      </c>
      <c r="H42" s="226">
        <v>3.1828703703703702E-3</v>
      </c>
      <c r="I42" s="226">
        <v>0</v>
      </c>
      <c r="J42" s="226">
        <v>4.6296296296296294E-5</v>
      </c>
    </row>
    <row r="43" spans="1:10">
      <c r="A43" s="224" t="s">
        <v>457</v>
      </c>
      <c r="B43" s="225">
        <v>56</v>
      </c>
      <c r="C43" s="227">
        <v>4.9200000000000001E-2</v>
      </c>
      <c r="D43" s="227">
        <v>0</v>
      </c>
      <c r="E43" s="227">
        <v>0</v>
      </c>
      <c r="F43" s="227">
        <v>9.8400000000000001E-2</v>
      </c>
      <c r="G43" s="227">
        <v>0</v>
      </c>
      <c r="H43" s="226">
        <v>3.1828703703703702E-3</v>
      </c>
      <c r="I43" s="226">
        <v>0</v>
      </c>
      <c r="J43" s="226">
        <v>4.6296296296296294E-5</v>
      </c>
    </row>
    <row r="44" spans="1:10">
      <c r="A44" s="224" t="s">
        <v>458</v>
      </c>
      <c r="B44" s="225">
        <v>55</v>
      </c>
      <c r="C44" s="227">
        <v>1.5599999999999999E-2</v>
      </c>
      <c r="D44" s="227">
        <v>0</v>
      </c>
      <c r="E44" s="227">
        <v>0</v>
      </c>
      <c r="F44" s="227">
        <v>1.5599999999999999E-2</v>
      </c>
      <c r="G44" s="227">
        <v>0</v>
      </c>
      <c r="H44" s="226">
        <v>3.1712962962962962E-3</v>
      </c>
      <c r="I44" s="226">
        <v>3.4722222222222222E-5</v>
      </c>
      <c r="J44" s="226">
        <v>5.7870370370370373E-5</v>
      </c>
    </row>
    <row r="45" spans="1:10">
      <c r="A45" s="224" t="s">
        <v>459</v>
      </c>
      <c r="B45" s="225">
        <v>54</v>
      </c>
      <c r="C45" s="227">
        <v>1.5599999999999999E-2</v>
      </c>
      <c r="D45" s="227">
        <v>0</v>
      </c>
      <c r="E45" s="227">
        <v>0</v>
      </c>
      <c r="F45" s="227">
        <v>1.5599999999999999E-2</v>
      </c>
      <c r="G45" s="227">
        <v>0</v>
      </c>
      <c r="H45" s="226">
        <v>3.1712962962962962E-3</v>
      </c>
      <c r="I45" s="226">
        <v>3.4722222222222222E-5</v>
      </c>
      <c r="J45" s="226">
        <v>5.7870370370370373E-5</v>
      </c>
    </row>
    <row r="46" spans="1:10">
      <c r="A46" s="224" t="s">
        <v>460</v>
      </c>
      <c r="B46" s="225">
        <v>53</v>
      </c>
      <c r="C46" s="227">
        <v>3.5700000000000003E-2</v>
      </c>
      <c r="D46" s="227">
        <v>0</v>
      </c>
      <c r="E46" s="227">
        <v>0</v>
      </c>
      <c r="F46" s="227">
        <v>5.3600000000000002E-2</v>
      </c>
      <c r="G46" s="227">
        <v>0</v>
      </c>
      <c r="H46" s="226">
        <v>2.662037037037037E-3</v>
      </c>
      <c r="I46" s="226">
        <v>4.7453703703703704E-4</v>
      </c>
      <c r="J46" s="226">
        <v>3.9351851851851852E-4</v>
      </c>
    </row>
    <row r="47" spans="1:10">
      <c r="A47" s="224" t="s">
        <v>461</v>
      </c>
      <c r="B47" s="225">
        <v>52</v>
      </c>
      <c r="C47" s="227">
        <v>3.5700000000000003E-2</v>
      </c>
      <c r="D47" s="227">
        <v>0</v>
      </c>
      <c r="E47" s="227">
        <v>0</v>
      </c>
      <c r="F47" s="227">
        <v>5.3600000000000002E-2</v>
      </c>
      <c r="G47" s="227">
        <v>0</v>
      </c>
      <c r="H47" s="226">
        <v>2.662037037037037E-3</v>
      </c>
      <c r="I47" s="226">
        <v>4.7453703703703704E-4</v>
      </c>
      <c r="J47" s="226">
        <v>3.9351851851851852E-4</v>
      </c>
    </row>
    <row r="48" spans="1:10">
      <c r="A48" s="224" t="s">
        <v>462</v>
      </c>
      <c r="B48" s="225">
        <v>51</v>
      </c>
      <c r="C48" s="227">
        <v>3.4500000000000003E-2</v>
      </c>
      <c r="D48" s="227">
        <v>0</v>
      </c>
      <c r="E48" s="227">
        <v>0</v>
      </c>
      <c r="F48" s="227">
        <v>0.10340000000000001</v>
      </c>
      <c r="G48" s="227">
        <v>0.16669999999999999</v>
      </c>
      <c r="H48" s="226">
        <v>2.8356481481481483E-3</v>
      </c>
      <c r="I48" s="226">
        <v>6.9444444444444444E-5</v>
      </c>
      <c r="J48" s="226">
        <v>1.1574074074074075E-4</v>
      </c>
    </row>
    <row r="49" spans="1:10">
      <c r="A49" s="224" t="s">
        <v>463</v>
      </c>
      <c r="B49" s="225">
        <v>50</v>
      </c>
      <c r="C49" s="227">
        <v>3.4500000000000003E-2</v>
      </c>
      <c r="D49" s="227">
        <v>0</v>
      </c>
      <c r="E49" s="227">
        <v>0</v>
      </c>
      <c r="F49" s="227">
        <v>0.10340000000000001</v>
      </c>
      <c r="G49" s="227">
        <v>0.16669999999999999</v>
      </c>
      <c r="H49" s="226">
        <v>2.8356481481481483E-3</v>
      </c>
      <c r="I49" s="226">
        <v>6.9444444444444444E-5</v>
      </c>
      <c r="J49" s="226">
        <v>1.1574074074074075E-4</v>
      </c>
    </row>
    <row r="50" spans="1:10">
      <c r="A50" s="224" t="s">
        <v>464</v>
      </c>
      <c r="B50" s="225">
        <v>49</v>
      </c>
      <c r="C50" s="227">
        <v>4.3499999999999997E-2</v>
      </c>
      <c r="D50" s="227">
        <v>0</v>
      </c>
      <c r="E50" s="227">
        <v>5.4800000000000001E-2</v>
      </c>
      <c r="F50" s="227">
        <v>7.2499999999999995E-2</v>
      </c>
      <c r="G50" s="227">
        <v>0.2</v>
      </c>
      <c r="H50" s="226">
        <v>2.7430555555555554E-3</v>
      </c>
      <c r="I50" s="226">
        <v>1.0300925925925926E-3</v>
      </c>
      <c r="J50" s="226">
        <v>2.199074074074074E-4</v>
      </c>
    </row>
    <row r="51" spans="1:10">
      <c r="A51" s="224" t="s">
        <v>465</v>
      </c>
      <c r="B51" s="225">
        <v>48</v>
      </c>
      <c r="C51" s="227">
        <v>4.3499999999999997E-2</v>
      </c>
      <c r="D51" s="227">
        <v>0</v>
      </c>
      <c r="E51" s="227">
        <v>5.4800000000000001E-2</v>
      </c>
      <c r="F51" s="227">
        <v>7.2499999999999995E-2</v>
      </c>
      <c r="G51" s="227">
        <v>0.2</v>
      </c>
      <c r="H51" s="226">
        <v>2.7430555555555554E-3</v>
      </c>
      <c r="I51" s="226">
        <v>1.0300925925925926E-3</v>
      </c>
      <c r="J51" s="226">
        <v>2.199074074074074E-4</v>
      </c>
    </row>
    <row r="52" spans="1:10">
      <c r="A52" s="224" t="s">
        <v>466</v>
      </c>
      <c r="B52" s="225">
        <v>47</v>
      </c>
      <c r="C52" s="227">
        <v>0</v>
      </c>
      <c r="D52" s="227">
        <v>0</v>
      </c>
      <c r="E52" s="227">
        <v>0</v>
      </c>
      <c r="F52" s="227">
        <v>0</v>
      </c>
      <c r="G52" s="227">
        <v>0</v>
      </c>
      <c r="H52" s="226">
        <v>3.3217592592592591E-3</v>
      </c>
      <c r="I52" s="228"/>
      <c r="J52" s="226">
        <v>9.2592592592592588E-5</v>
      </c>
    </row>
    <row r="53" spans="1:10">
      <c r="A53" s="224" t="s">
        <v>467</v>
      </c>
      <c r="B53" s="225">
        <v>46</v>
      </c>
      <c r="C53" s="227">
        <v>0</v>
      </c>
      <c r="D53" s="227">
        <v>0</v>
      </c>
      <c r="E53" s="227">
        <v>0</v>
      </c>
      <c r="F53" s="227">
        <v>0</v>
      </c>
      <c r="G53" s="227">
        <v>0</v>
      </c>
      <c r="H53" s="226">
        <v>3.3217592592592591E-3</v>
      </c>
      <c r="I53" s="228"/>
      <c r="J53" s="226">
        <v>9.2592592592592588E-5</v>
      </c>
    </row>
    <row r="54" spans="1:10">
      <c r="A54" s="224" t="s">
        <v>468</v>
      </c>
      <c r="B54" s="225">
        <v>45</v>
      </c>
      <c r="C54" s="227">
        <v>0.1111</v>
      </c>
      <c r="D54" s="227">
        <v>0</v>
      </c>
      <c r="E54" s="227">
        <v>0</v>
      </c>
      <c r="F54" s="227">
        <v>0.22220000000000001</v>
      </c>
      <c r="G54" s="227">
        <v>0</v>
      </c>
      <c r="H54" s="226">
        <v>2.7083333333333334E-3</v>
      </c>
      <c r="I54" s="226">
        <v>2.6620370370370372E-4</v>
      </c>
      <c r="J54" s="226">
        <v>4.6296296296296294E-5</v>
      </c>
    </row>
    <row r="55" spans="1:10">
      <c r="A55" s="224" t="s">
        <v>469</v>
      </c>
      <c r="B55" s="225">
        <v>44</v>
      </c>
      <c r="C55" s="227">
        <v>0.1111</v>
      </c>
      <c r="D55" s="227">
        <v>0</v>
      </c>
      <c r="E55" s="227">
        <v>0</v>
      </c>
      <c r="F55" s="227">
        <v>0.22220000000000001</v>
      </c>
      <c r="G55" s="227">
        <v>0</v>
      </c>
      <c r="H55" s="226">
        <v>2.7083333333333334E-3</v>
      </c>
      <c r="I55" s="226">
        <v>2.6620370370370372E-4</v>
      </c>
      <c r="J55" s="226">
        <v>4.6296296296296294E-5</v>
      </c>
    </row>
    <row r="56" spans="1:10">
      <c r="A56" s="224" t="s">
        <v>470</v>
      </c>
      <c r="B56" s="225">
        <v>43</v>
      </c>
      <c r="C56" s="227">
        <v>0.1449</v>
      </c>
      <c r="D56" s="227">
        <v>0</v>
      </c>
      <c r="E56" s="227">
        <v>0</v>
      </c>
      <c r="F56" s="227">
        <v>0.2029</v>
      </c>
      <c r="G56" s="227">
        <v>7.1400000000000005E-2</v>
      </c>
      <c r="H56" s="226">
        <v>2.662037037037037E-3</v>
      </c>
      <c r="I56" s="226">
        <v>1.9675925925925926E-4</v>
      </c>
      <c r="J56" s="226">
        <v>3.3564814814814812E-4</v>
      </c>
    </row>
    <row r="57" spans="1:10">
      <c r="A57" s="224" t="s">
        <v>471</v>
      </c>
      <c r="B57" s="225">
        <v>42</v>
      </c>
      <c r="C57" s="227">
        <v>0.1449</v>
      </c>
      <c r="D57" s="227">
        <v>0</v>
      </c>
      <c r="E57" s="227">
        <v>0</v>
      </c>
      <c r="F57" s="227">
        <v>0.2029</v>
      </c>
      <c r="G57" s="227">
        <v>7.1400000000000005E-2</v>
      </c>
      <c r="H57" s="226">
        <v>2.662037037037037E-3</v>
      </c>
      <c r="I57" s="226">
        <v>1.9675925925925926E-4</v>
      </c>
      <c r="J57" s="226">
        <v>3.3564814814814812E-4</v>
      </c>
    </row>
    <row r="58" spans="1:10">
      <c r="A58" s="224" t="s">
        <v>472</v>
      </c>
      <c r="B58" s="225">
        <v>41</v>
      </c>
      <c r="C58" s="227">
        <v>6.7799999999999999E-2</v>
      </c>
      <c r="D58" s="227">
        <v>0</v>
      </c>
      <c r="E58" s="227">
        <v>0</v>
      </c>
      <c r="F58" s="227">
        <v>0.1186</v>
      </c>
      <c r="G58" s="227">
        <v>0</v>
      </c>
      <c r="H58" s="226">
        <v>2.627314814814815E-3</v>
      </c>
      <c r="I58" s="226">
        <v>2.0833333333333335E-4</v>
      </c>
      <c r="J58" s="226">
        <v>3.1250000000000001E-4</v>
      </c>
    </row>
    <row r="59" spans="1:10">
      <c r="A59" s="224" t="s">
        <v>473</v>
      </c>
      <c r="B59" s="225">
        <v>40</v>
      </c>
      <c r="C59" s="227">
        <v>6.7799999999999999E-2</v>
      </c>
      <c r="D59" s="227">
        <v>0</v>
      </c>
      <c r="E59" s="227">
        <v>0</v>
      </c>
      <c r="F59" s="227">
        <v>0.1186</v>
      </c>
      <c r="G59" s="227">
        <v>0</v>
      </c>
      <c r="H59" s="226">
        <v>2.627314814814815E-3</v>
      </c>
      <c r="I59" s="226">
        <v>2.0833333333333335E-4</v>
      </c>
      <c r="J59" s="226">
        <v>3.1250000000000001E-4</v>
      </c>
    </row>
    <row r="60" spans="1:10">
      <c r="A60" s="224" t="s">
        <v>474</v>
      </c>
      <c r="B60" s="225">
        <v>39</v>
      </c>
      <c r="C60" s="227">
        <v>2.63E-2</v>
      </c>
      <c r="D60" s="227">
        <v>0</v>
      </c>
      <c r="E60" s="227">
        <v>4.9399999999999999E-2</v>
      </c>
      <c r="F60" s="227">
        <v>7.8899999999999998E-2</v>
      </c>
      <c r="G60" s="227">
        <v>0.16669999999999999</v>
      </c>
      <c r="H60" s="226">
        <v>2.1643518518518518E-3</v>
      </c>
      <c r="I60" s="226">
        <v>9.3749999999999997E-4</v>
      </c>
      <c r="J60" s="226">
        <v>2.199074074074074E-4</v>
      </c>
    </row>
    <row r="61" spans="1:10">
      <c r="A61" s="224" t="s">
        <v>475</v>
      </c>
      <c r="B61" s="225">
        <v>38</v>
      </c>
      <c r="C61" s="227">
        <v>2.63E-2</v>
      </c>
      <c r="D61" s="227">
        <v>0</v>
      </c>
      <c r="E61" s="227">
        <v>4.9399999999999999E-2</v>
      </c>
      <c r="F61" s="227">
        <v>7.8899999999999998E-2</v>
      </c>
      <c r="G61" s="227">
        <v>0.16669999999999999</v>
      </c>
      <c r="H61" s="226">
        <v>2.1643518518518518E-3</v>
      </c>
      <c r="I61" s="226">
        <v>9.3749999999999997E-4</v>
      </c>
      <c r="J61" s="226">
        <v>2.199074074074074E-4</v>
      </c>
    </row>
    <row r="62" spans="1:10">
      <c r="A62" s="224" t="s">
        <v>476</v>
      </c>
      <c r="B62" s="225">
        <v>37</v>
      </c>
      <c r="C62" s="227">
        <v>3.7999999999999999E-2</v>
      </c>
      <c r="D62" s="227">
        <v>0</v>
      </c>
      <c r="E62" s="227">
        <v>0</v>
      </c>
      <c r="F62" s="227">
        <v>7.5899999999999995E-2</v>
      </c>
      <c r="G62" s="227">
        <v>0.16669999999999999</v>
      </c>
      <c r="H62" s="226">
        <v>2.4074074074074076E-3</v>
      </c>
      <c r="I62" s="226">
        <v>1.9675925925925926E-4</v>
      </c>
      <c r="J62" s="226">
        <v>2.6620370370370372E-4</v>
      </c>
    </row>
    <row r="63" spans="1:10">
      <c r="A63" s="224" t="s">
        <v>477</v>
      </c>
      <c r="B63" s="225">
        <v>36</v>
      </c>
      <c r="C63" s="227">
        <v>3.7999999999999999E-2</v>
      </c>
      <c r="D63" s="227">
        <v>0</v>
      </c>
      <c r="E63" s="227">
        <v>0</v>
      </c>
      <c r="F63" s="227">
        <v>7.5899999999999995E-2</v>
      </c>
      <c r="G63" s="227">
        <v>0.16669999999999999</v>
      </c>
      <c r="H63" s="226">
        <v>2.4074074074074076E-3</v>
      </c>
      <c r="I63" s="226">
        <v>1.9675925925925926E-4</v>
      </c>
      <c r="J63" s="226">
        <v>2.6620370370370372E-4</v>
      </c>
    </row>
    <row r="64" spans="1:10">
      <c r="A64" s="224" t="s">
        <v>478</v>
      </c>
      <c r="B64" s="225">
        <v>35</v>
      </c>
      <c r="C64" s="227">
        <v>8.77E-2</v>
      </c>
      <c r="D64" s="227">
        <v>0</v>
      </c>
      <c r="E64" s="227">
        <v>0</v>
      </c>
      <c r="F64" s="227">
        <v>0.1053</v>
      </c>
      <c r="G64" s="227">
        <v>0</v>
      </c>
      <c r="H64" s="226">
        <v>3.1134259259259257E-3</v>
      </c>
      <c r="I64" s="226">
        <v>1.9675925925925926E-4</v>
      </c>
      <c r="J64" s="226">
        <v>5.7870370370370367E-4</v>
      </c>
    </row>
    <row r="65" spans="1:10">
      <c r="A65" s="224" t="s">
        <v>479</v>
      </c>
      <c r="B65" s="225">
        <v>34</v>
      </c>
      <c r="C65" s="227">
        <v>8.77E-2</v>
      </c>
      <c r="D65" s="227">
        <v>0</v>
      </c>
      <c r="E65" s="227">
        <v>0</v>
      </c>
      <c r="F65" s="227">
        <v>0.1053</v>
      </c>
      <c r="G65" s="227">
        <v>0</v>
      </c>
      <c r="H65" s="226">
        <v>3.1134259259259257E-3</v>
      </c>
      <c r="I65" s="226">
        <v>1.9675925925925926E-4</v>
      </c>
      <c r="J65" s="226">
        <v>5.7870370370370367E-4</v>
      </c>
    </row>
    <row r="66" spans="1:10">
      <c r="A66" s="224" t="s">
        <v>480</v>
      </c>
      <c r="B66" s="225">
        <v>33</v>
      </c>
      <c r="C66" s="227">
        <v>0.1077</v>
      </c>
      <c r="D66" s="227">
        <v>0</v>
      </c>
      <c r="E66" s="227">
        <v>0</v>
      </c>
      <c r="F66" s="227">
        <v>0.16919999999999999</v>
      </c>
      <c r="G66" s="227">
        <v>0</v>
      </c>
      <c r="H66" s="226">
        <v>2.9513888888888888E-3</v>
      </c>
      <c r="I66" s="226">
        <v>3.4722222222222222E-5</v>
      </c>
      <c r="J66" s="226">
        <v>1.1574074074074075E-4</v>
      </c>
    </row>
    <row r="67" spans="1:10">
      <c r="A67" s="224" t="s">
        <v>481</v>
      </c>
      <c r="B67" s="225">
        <v>32</v>
      </c>
      <c r="C67" s="227">
        <v>0.1077</v>
      </c>
      <c r="D67" s="227">
        <v>0</v>
      </c>
      <c r="E67" s="227">
        <v>0</v>
      </c>
      <c r="F67" s="227">
        <v>0.16919999999999999</v>
      </c>
      <c r="G67" s="227">
        <v>0</v>
      </c>
      <c r="H67" s="226">
        <v>2.9513888888888888E-3</v>
      </c>
      <c r="I67" s="226">
        <v>3.4722222222222222E-5</v>
      </c>
      <c r="J67" s="226">
        <v>1.1574074074074075E-4</v>
      </c>
    </row>
    <row r="68" spans="1:10">
      <c r="A68" s="224" t="s">
        <v>482</v>
      </c>
      <c r="B68" s="225">
        <v>31</v>
      </c>
      <c r="C68" s="227">
        <v>7.3499999999999996E-2</v>
      </c>
      <c r="D68" s="227">
        <v>0</v>
      </c>
      <c r="E68" s="227">
        <v>0</v>
      </c>
      <c r="F68" s="227">
        <v>0.13239999999999999</v>
      </c>
      <c r="G68" s="227">
        <v>0</v>
      </c>
      <c r="H68" s="226">
        <v>2.9745370370370373E-3</v>
      </c>
      <c r="I68" s="226">
        <v>0</v>
      </c>
      <c r="J68" s="226">
        <v>1.0416666666666667E-4</v>
      </c>
    </row>
    <row r="69" spans="1:10">
      <c r="A69" s="224" t="s">
        <v>483</v>
      </c>
      <c r="B69" s="225">
        <v>30</v>
      </c>
      <c r="C69" s="227">
        <v>7.3499999999999996E-2</v>
      </c>
      <c r="D69" s="227">
        <v>0</v>
      </c>
      <c r="E69" s="227">
        <v>0</v>
      </c>
      <c r="F69" s="227">
        <v>0.13239999999999999</v>
      </c>
      <c r="G69" s="227">
        <v>0</v>
      </c>
      <c r="H69" s="226">
        <v>2.9745370370370373E-3</v>
      </c>
      <c r="I69" s="226">
        <v>0</v>
      </c>
      <c r="J69" s="226">
        <v>1.0416666666666667E-4</v>
      </c>
    </row>
    <row r="70" spans="1:10">
      <c r="A70" s="224" t="s">
        <v>484</v>
      </c>
      <c r="B70" s="225">
        <v>29</v>
      </c>
      <c r="C70" s="227">
        <v>0.05</v>
      </c>
      <c r="D70" s="227">
        <v>0</v>
      </c>
      <c r="E70" s="227">
        <v>0</v>
      </c>
      <c r="F70" s="227">
        <v>0.1</v>
      </c>
      <c r="G70" s="227">
        <v>0</v>
      </c>
      <c r="H70" s="226">
        <v>2.9861111111111113E-3</v>
      </c>
      <c r="I70" s="226">
        <v>1.1574074074074073E-5</v>
      </c>
      <c r="J70" s="226">
        <v>8.1018518518518516E-5</v>
      </c>
    </row>
    <row r="71" spans="1:10">
      <c r="A71" s="224" t="s">
        <v>485</v>
      </c>
      <c r="B71" s="225">
        <v>28</v>
      </c>
      <c r="C71" s="227">
        <v>0.05</v>
      </c>
      <c r="D71" s="227">
        <v>0</v>
      </c>
      <c r="E71" s="227">
        <v>0</v>
      </c>
      <c r="F71" s="227">
        <v>0.1</v>
      </c>
      <c r="G71" s="227">
        <v>0</v>
      </c>
      <c r="H71" s="226">
        <v>2.9861111111111113E-3</v>
      </c>
      <c r="I71" s="226">
        <v>1.1574074074074073E-5</v>
      </c>
      <c r="J71" s="226">
        <v>8.1018518518518516E-5</v>
      </c>
    </row>
    <row r="72" spans="1:10">
      <c r="A72" s="224" t="s">
        <v>486</v>
      </c>
      <c r="B72" s="225">
        <v>29</v>
      </c>
      <c r="C72" s="227">
        <v>7.1400000000000005E-2</v>
      </c>
      <c r="D72" s="227">
        <v>0</v>
      </c>
      <c r="E72" s="227">
        <v>0</v>
      </c>
      <c r="F72" s="227">
        <v>8.9300000000000004E-2</v>
      </c>
      <c r="G72" s="227">
        <v>0</v>
      </c>
      <c r="H72" s="226">
        <v>2.8935185185185184E-3</v>
      </c>
      <c r="I72" s="226">
        <v>3.4722222222222222E-5</v>
      </c>
      <c r="J72" s="226">
        <v>8.1018518518518516E-5</v>
      </c>
    </row>
    <row r="73" spans="1:10">
      <c r="A73" s="224" t="s">
        <v>487</v>
      </c>
      <c r="B73" s="225">
        <v>30</v>
      </c>
      <c r="C73" s="227">
        <v>7.1400000000000005E-2</v>
      </c>
      <c r="D73" s="227">
        <v>0</v>
      </c>
      <c r="E73" s="227">
        <v>0</v>
      </c>
      <c r="F73" s="227">
        <v>8.9300000000000004E-2</v>
      </c>
      <c r="G73" s="227">
        <v>0</v>
      </c>
      <c r="H73" s="226">
        <v>2.8935185185185184E-3</v>
      </c>
      <c r="I73" s="226">
        <v>3.4722222222222222E-5</v>
      </c>
      <c r="J73" s="226">
        <v>8.1018518518518516E-5</v>
      </c>
    </row>
    <row r="74" spans="1:10">
      <c r="A74" s="224" t="s">
        <v>488</v>
      </c>
      <c r="B74" s="225">
        <v>31</v>
      </c>
      <c r="C74" s="227">
        <v>7.6899999999999996E-2</v>
      </c>
      <c r="D74" s="227">
        <v>0</v>
      </c>
      <c r="E74" s="227">
        <v>0</v>
      </c>
      <c r="F74" s="227">
        <v>7.6899999999999996E-2</v>
      </c>
      <c r="G74" s="227">
        <v>0</v>
      </c>
      <c r="H74" s="226">
        <v>2.4652777777777776E-3</v>
      </c>
      <c r="I74" s="226">
        <v>0</v>
      </c>
      <c r="J74" s="226">
        <v>1.0416666666666667E-4</v>
      </c>
    </row>
    <row r="75" spans="1:10">
      <c r="A75" s="224" t="s">
        <v>489</v>
      </c>
      <c r="B75" s="225">
        <v>32</v>
      </c>
      <c r="C75" s="227">
        <v>7.6899999999999996E-2</v>
      </c>
      <c r="D75" s="227">
        <v>0</v>
      </c>
      <c r="E75" s="227">
        <v>0</v>
      </c>
      <c r="F75" s="227">
        <v>7.6899999999999996E-2</v>
      </c>
      <c r="G75" s="227">
        <v>0</v>
      </c>
      <c r="H75" s="226">
        <v>2.4652777777777776E-3</v>
      </c>
      <c r="I75" s="226">
        <v>0</v>
      </c>
      <c r="J75" s="226">
        <v>1.0416666666666667E-4</v>
      </c>
    </row>
    <row r="76" spans="1:10">
      <c r="A76" s="224" t="s">
        <v>490</v>
      </c>
      <c r="B76" s="225">
        <v>33</v>
      </c>
      <c r="C76" s="227">
        <v>5.4100000000000002E-2</v>
      </c>
      <c r="D76" s="227">
        <v>0</v>
      </c>
      <c r="E76" s="227">
        <v>0</v>
      </c>
      <c r="F76" s="227">
        <v>8.1100000000000005E-2</v>
      </c>
      <c r="G76" s="227">
        <v>0</v>
      </c>
      <c r="H76" s="226">
        <v>2.5231481481481481E-3</v>
      </c>
      <c r="I76" s="226">
        <v>2.0833333333333335E-4</v>
      </c>
      <c r="J76" s="226">
        <v>2.3148148148148149E-4</v>
      </c>
    </row>
    <row r="77" spans="1:10">
      <c r="A77" s="224" t="s">
        <v>491</v>
      </c>
      <c r="B77" s="225">
        <v>34</v>
      </c>
      <c r="C77" s="227">
        <v>5.4100000000000002E-2</v>
      </c>
      <c r="D77" s="227">
        <v>0</v>
      </c>
      <c r="E77" s="227">
        <v>0</v>
      </c>
      <c r="F77" s="227">
        <v>8.1100000000000005E-2</v>
      </c>
      <c r="G77" s="227">
        <v>0</v>
      </c>
      <c r="H77" s="226">
        <v>2.5231481481481481E-3</v>
      </c>
      <c r="I77" s="226">
        <v>2.0833333333333335E-4</v>
      </c>
      <c r="J77" s="226">
        <v>2.3148148148148149E-4</v>
      </c>
    </row>
    <row r="78" spans="1:10">
      <c r="A78" s="224" t="s">
        <v>492</v>
      </c>
      <c r="B78" s="225">
        <v>35</v>
      </c>
      <c r="C78" s="227">
        <v>5.6300000000000003E-2</v>
      </c>
      <c r="D78" s="227">
        <v>0</v>
      </c>
      <c r="E78" s="227">
        <v>0</v>
      </c>
      <c r="F78" s="227">
        <v>9.8599999999999993E-2</v>
      </c>
      <c r="G78" s="227">
        <v>0</v>
      </c>
      <c r="H78" s="226">
        <v>2.7430555555555554E-3</v>
      </c>
      <c r="I78" s="226">
        <v>0</v>
      </c>
      <c r="J78" s="226">
        <v>1.1574074074074075E-4</v>
      </c>
    </row>
    <row r="79" spans="1:10">
      <c r="A79" s="224" t="s">
        <v>493</v>
      </c>
      <c r="B79" s="225">
        <v>36</v>
      </c>
      <c r="C79" s="227">
        <v>5.6300000000000003E-2</v>
      </c>
      <c r="D79" s="227">
        <v>0</v>
      </c>
      <c r="E79" s="227">
        <v>0</v>
      </c>
      <c r="F79" s="227">
        <v>9.8599999999999993E-2</v>
      </c>
      <c r="G79" s="227">
        <v>0</v>
      </c>
      <c r="H79" s="226">
        <v>2.7430555555555554E-3</v>
      </c>
      <c r="I79" s="226">
        <v>0</v>
      </c>
      <c r="J79" s="226">
        <v>1.1574074074074075E-4</v>
      </c>
    </row>
    <row r="80" spans="1:10">
      <c r="A80" s="224" t="s">
        <v>494</v>
      </c>
      <c r="B80" s="225">
        <v>37</v>
      </c>
      <c r="C80" s="227">
        <v>0.13639999999999999</v>
      </c>
      <c r="D80" s="227">
        <v>0</v>
      </c>
      <c r="E80" s="227">
        <v>0</v>
      </c>
      <c r="F80" s="227">
        <v>0.18179999999999999</v>
      </c>
      <c r="G80" s="227">
        <v>8.3299999999999999E-2</v>
      </c>
      <c r="H80" s="226">
        <v>2.6967592592592594E-3</v>
      </c>
      <c r="I80" s="226">
        <v>3.4722222222222222E-5</v>
      </c>
      <c r="J80" s="226">
        <v>7.0601851851851847E-4</v>
      </c>
    </row>
    <row r="81" spans="1:10">
      <c r="A81" s="224" t="s">
        <v>495</v>
      </c>
      <c r="B81" s="225">
        <v>38</v>
      </c>
      <c r="C81" s="227">
        <v>0.13639999999999999</v>
      </c>
      <c r="D81" s="227">
        <v>0</v>
      </c>
      <c r="E81" s="227">
        <v>0</v>
      </c>
      <c r="F81" s="227">
        <v>0.18179999999999999</v>
      </c>
      <c r="G81" s="227">
        <v>8.3299999999999999E-2</v>
      </c>
      <c r="H81" s="226">
        <v>2.6967592592592594E-3</v>
      </c>
      <c r="I81" s="226">
        <v>3.4722222222222222E-5</v>
      </c>
      <c r="J81" s="226">
        <v>7.0601851851851847E-4</v>
      </c>
    </row>
    <row r="82" spans="1:10">
      <c r="A82" s="224" t="s">
        <v>496</v>
      </c>
      <c r="B82" s="225">
        <v>39</v>
      </c>
      <c r="C82" s="227">
        <v>8.8200000000000001E-2</v>
      </c>
      <c r="D82" s="227">
        <v>0</v>
      </c>
      <c r="E82" s="227">
        <v>0</v>
      </c>
      <c r="F82" s="227">
        <v>8.8200000000000001E-2</v>
      </c>
      <c r="G82" s="227">
        <v>0</v>
      </c>
      <c r="H82" s="226">
        <v>2.9398148148148148E-3</v>
      </c>
      <c r="I82" s="226">
        <v>0</v>
      </c>
      <c r="J82" s="226">
        <v>8.1018518518518516E-5</v>
      </c>
    </row>
    <row r="83" spans="1:10">
      <c r="A83" s="224" t="s">
        <v>497</v>
      </c>
      <c r="B83" s="225">
        <v>40</v>
      </c>
      <c r="C83" s="227">
        <v>8.8200000000000001E-2</v>
      </c>
      <c r="D83" s="227">
        <v>0</v>
      </c>
      <c r="E83" s="227">
        <v>0</v>
      </c>
      <c r="F83" s="227">
        <v>8.8200000000000001E-2</v>
      </c>
      <c r="G83" s="227">
        <v>0</v>
      </c>
      <c r="H83" s="226">
        <v>2.9398148148148148E-3</v>
      </c>
      <c r="I83" s="226">
        <v>0</v>
      </c>
      <c r="J83" s="226">
        <v>8.1018518518518516E-5</v>
      </c>
    </row>
    <row r="84" spans="1:10">
      <c r="A84" s="224" t="s">
        <v>498</v>
      </c>
      <c r="B84" s="225">
        <v>41</v>
      </c>
      <c r="C84" s="227">
        <v>3.6999999999999998E-2</v>
      </c>
      <c r="D84" s="227">
        <v>0</v>
      </c>
      <c r="E84" s="227">
        <v>0</v>
      </c>
      <c r="F84" s="227">
        <v>0.12959999999999999</v>
      </c>
      <c r="G84" s="227">
        <v>0.28570000000000001</v>
      </c>
      <c r="H84" s="226">
        <v>2.8819444444444444E-3</v>
      </c>
      <c r="I84" s="226">
        <v>1.3888888888888889E-4</v>
      </c>
      <c r="J84" s="226">
        <v>5.7870370370370373E-5</v>
      </c>
    </row>
    <row r="85" spans="1:10">
      <c r="A85" s="224" t="s">
        <v>499</v>
      </c>
      <c r="B85" s="225">
        <v>42</v>
      </c>
      <c r="C85" s="227">
        <v>3.6999999999999998E-2</v>
      </c>
      <c r="D85" s="227">
        <v>0</v>
      </c>
      <c r="E85" s="227">
        <v>0</v>
      </c>
      <c r="F85" s="227">
        <v>0.12959999999999999</v>
      </c>
      <c r="G85" s="227">
        <v>0.28570000000000001</v>
      </c>
      <c r="H85" s="226">
        <v>2.8819444444444444E-3</v>
      </c>
      <c r="I85" s="226">
        <v>1.3888888888888889E-4</v>
      </c>
      <c r="J85" s="226">
        <v>5.7870370370370373E-5</v>
      </c>
    </row>
    <row r="86" spans="1:10">
      <c r="A86" s="224" t="s">
        <v>500</v>
      </c>
      <c r="B86" s="225">
        <v>43</v>
      </c>
      <c r="C86" s="227">
        <v>4.0800000000000003E-2</v>
      </c>
      <c r="D86" s="227">
        <v>0</v>
      </c>
      <c r="E86" s="227">
        <v>0</v>
      </c>
      <c r="F86" s="227">
        <v>6.1199999999999997E-2</v>
      </c>
      <c r="G86" s="227">
        <v>0</v>
      </c>
      <c r="H86" s="226">
        <v>2.8009259259259259E-3</v>
      </c>
      <c r="I86" s="226">
        <v>1.1574074074074073E-5</v>
      </c>
      <c r="J86" s="226">
        <v>4.6296296296296294E-5</v>
      </c>
    </row>
    <row r="87" spans="1:10">
      <c r="A87" s="224" t="s">
        <v>501</v>
      </c>
      <c r="B87" s="225">
        <v>44</v>
      </c>
      <c r="C87" s="227">
        <v>4.0800000000000003E-2</v>
      </c>
      <c r="D87" s="227">
        <v>0</v>
      </c>
      <c r="E87" s="227">
        <v>0</v>
      </c>
      <c r="F87" s="227">
        <v>6.1199999999999997E-2</v>
      </c>
      <c r="G87" s="227">
        <v>0</v>
      </c>
      <c r="H87" s="226">
        <v>2.8009259259259259E-3</v>
      </c>
      <c r="I87" s="226">
        <v>1.1574074074074073E-5</v>
      </c>
      <c r="J87" s="226">
        <v>4.6296296296296294E-5</v>
      </c>
    </row>
    <row r="88" spans="1:10">
      <c r="A88" s="224" t="s">
        <v>502</v>
      </c>
      <c r="B88" s="225">
        <v>45</v>
      </c>
      <c r="C88" s="227">
        <v>7.5499999999999998E-2</v>
      </c>
      <c r="D88" s="227">
        <v>0</v>
      </c>
      <c r="E88" s="227">
        <v>0</v>
      </c>
      <c r="F88" s="227">
        <v>0.1132</v>
      </c>
      <c r="G88" s="227">
        <v>0</v>
      </c>
      <c r="H88" s="226">
        <v>3.9004629629629628E-3</v>
      </c>
      <c r="I88" s="226">
        <v>4.6296296296296294E-5</v>
      </c>
      <c r="J88" s="226">
        <v>2.6620370370370372E-4</v>
      </c>
    </row>
    <row r="89" spans="1:10">
      <c r="A89" s="224" t="s">
        <v>503</v>
      </c>
      <c r="B89" s="225">
        <v>46</v>
      </c>
      <c r="C89" s="227">
        <v>7.5499999999999998E-2</v>
      </c>
      <c r="D89" s="227">
        <v>0</v>
      </c>
      <c r="E89" s="227">
        <v>0</v>
      </c>
      <c r="F89" s="227">
        <v>0.1132</v>
      </c>
      <c r="G89" s="227">
        <v>0</v>
      </c>
      <c r="H89" s="226">
        <v>3.9004629629629628E-3</v>
      </c>
      <c r="I89" s="226">
        <v>4.6296296296296294E-5</v>
      </c>
      <c r="J89" s="226">
        <v>2.6620370370370372E-4</v>
      </c>
    </row>
    <row r="90" spans="1:10">
      <c r="A90" s="224" t="s">
        <v>504</v>
      </c>
      <c r="B90" s="225">
        <v>47</v>
      </c>
      <c r="C90" s="227">
        <v>3.0800000000000001E-2</v>
      </c>
      <c r="D90" s="227">
        <v>1.54E-2</v>
      </c>
      <c r="E90" s="227">
        <v>0</v>
      </c>
      <c r="F90" s="227">
        <v>7.6899999999999996E-2</v>
      </c>
      <c r="G90" s="227">
        <v>0.4</v>
      </c>
      <c r="H90" s="226">
        <v>2.9745370370370373E-3</v>
      </c>
      <c r="I90" s="226">
        <v>1.3888888888888889E-4</v>
      </c>
      <c r="J90" s="226">
        <v>8.1018518518518516E-5</v>
      </c>
    </row>
    <row r="91" spans="1:10">
      <c r="A91" s="224" t="s">
        <v>505</v>
      </c>
      <c r="B91" s="225">
        <v>48</v>
      </c>
      <c r="C91" s="227">
        <v>3.0800000000000001E-2</v>
      </c>
      <c r="D91" s="227">
        <v>1.54E-2</v>
      </c>
      <c r="E91" s="227">
        <v>0</v>
      </c>
      <c r="F91" s="227">
        <v>7.6899999999999996E-2</v>
      </c>
      <c r="G91" s="227">
        <v>0.4</v>
      </c>
      <c r="H91" s="226">
        <v>2.9745370370370373E-3</v>
      </c>
      <c r="I91" s="226">
        <v>1.3888888888888889E-4</v>
      </c>
      <c r="J91" s="226">
        <v>8.1018518518518516E-5</v>
      </c>
    </row>
    <row r="92" spans="1:10">
      <c r="A92" s="224" t="s">
        <v>506</v>
      </c>
      <c r="B92" s="225">
        <v>49</v>
      </c>
      <c r="C92" s="227">
        <v>6.7799999999999999E-2</v>
      </c>
      <c r="D92" s="227">
        <v>0</v>
      </c>
      <c r="E92" s="227">
        <v>0</v>
      </c>
      <c r="F92" s="227">
        <v>0.1017</v>
      </c>
      <c r="G92" s="227">
        <v>0</v>
      </c>
      <c r="H92" s="226">
        <v>2.8935185185185184E-3</v>
      </c>
      <c r="I92" s="226">
        <v>3.3564814814814812E-4</v>
      </c>
      <c r="J92" s="226">
        <v>4.6296296296296294E-5</v>
      </c>
    </row>
    <row r="93" spans="1:10">
      <c r="A93" s="224" t="s">
        <v>507</v>
      </c>
      <c r="B93" s="225">
        <v>50</v>
      </c>
      <c r="C93" s="227">
        <v>6.7799999999999999E-2</v>
      </c>
      <c r="D93" s="227">
        <v>0</v>
      </c>
      <c r="E93" s="227">
        <v>0</v>
      </c>
      <c r="F93" s="227">
        <v>0.1017</v>
      </c>
      <c r="G93" s="227">
        <v>0</v>
      </c>
      <c r="H93" s="226">
        <v>2.8935185185185184E-3</v>
      </c>
      <c r="I93" s="226">
        <v>3.3564814814814812E-4</v>
      </c>
      <c r="J93" s="226">
        <v>4.6296296296296294E-5</v>
      </c>
    </row>
    <row r="94" spans="1:10">
      <c r="A94" s="224" t="s">
        <v>508</v>
      </c>
      <c r="B94" s="225">
        <v>51</v>
      </c>
      <c r="C94" s="227">
        <v>6.0600000000000001E-2</v>
      </c>
      <c r="D94" s="227">
        <v>0</v>
      </c>
      <c r="E94" s="227">
        <v>0</v>
      </c>
      <c r="F94" s="227">
        <v>0.1061</v>
      </c>
      <c r="G94" s="227">
        <v>0</v>
      </c>
      <c r="H94" s="226">
        <v>2.9282407407407408E-3</v>
      </c>
      <c r="I94" s="226">
        <v>2.4305555555555555E-4</v>
      </c>
      <c r="J94" s="226">
        <v>2.199074074074074E-4</v>
      </c>
    </row>
    <row r="95" spans="1:10">
      <c r="A95" s="224" t="s">
        <v>509</v>
      </c>
      <c r="B95" s="225">
        <v>52</v>
      </c>
      <c r="C95" s="227">
        <v>6.0600000000000001E-2</v>
      </c>
      <c r="D95" s="227">
        <v>0</v>
      </c>
      <c r="E95" s="227">
        <v>0</v>
      </c>
      <c r="F95" s="227">
        <v>0.1061</v>
      </c>
      <c r="G95" s="227">
        <v>0</v>
      </c>
      <c r="H95" s="226">
        <v>2.9282407407407408E-3</v>
      </c>
      <c r="I95" s="226">
        <v>2.4305555555555555E-4</v>
      </c>
      <c r="J95" s="226">
        <v>2.199074074074074E-4</v>
      </c>
    </row>
    <row r="96" spans="1:10">
      <c r="A96" s="224" t="s">
        <v>510</v>
      </c>
      <c r="B96" s="225">
        <v>53</v>
      </c>
      <c r="C96" s="227">
        <v>5.9700000000000003E-2</v>
      </c>
      <c r="D96" s="227">
        <v>0</v>
      </c>
      <c r="E96" s="227">
        <v>0</v>
      </c>
      <c r="F96" s="227">
        <v>5.9700000000000003E-2</v>
      </c>
      <c r="G96" s="227">
        <v>0</v>
      </c>
      <c r="H96" s="226">
        <v>2.9050925925925928E-3</v>
      </c>
      <c r="I96" s="226">
        <v>2.3148148148148147E-5</v>
      </c>
      <c r="J96" s="226">
        <v>4.6296296296296294E-5</v>
      </c>
    </row>
    <row r="97" spans="1:10">
      <c r="A97" s="224" t="s">
        <v>511</v>
      </c>
      <c r="B97" s="225">
        <v>54</v>
      </c>
      <c r="C97" s="227">
        <v>5.9700000000000003E-2</v>
      </c>
      <c r="D97" s="227">
        <v>0</v>
      </c>
      <c r="E97" s="227">
        <v>0</v>
      </c>
      <c r="F97" s="227">
        <v>5.9700000000000003E-2</v>
      </c>
      <c r="G97" s="227">
        <v>0</v>
      </c>
      <c r="H97" s="226">
        <v>2.9050925925925928E-3</v>
      </c>
      <c r="I97" s="226">
        <v>2.3148148148148147E-5</v>
      </c>
      <c r="J97" s="226">
        <v>4.6296296296296294E-5</v>
      </c>
    </row>
    <row r="98" spans="1:10">
      <c r="A98" s="224" t="s">
        <v>512</v>
      </c>
      <c r="B98" s="225">
        <v>55</v>
      </c>
      <c r="C98" s="227">
        <v>0</v>
      </c>
      <c r="D98" s="227">
        <v>0</v>
      </c>
      <c r="E98" s="227">
        <v>0</v>
      </c>
      <c r="F98" s="227">
        <v>2.86E-2</v>
      </c>
      <c r="G98" s="227">
        <v>1</v>
      </c>
      <c r="H98" s="226">
        <v>2.650462962962963E-3</v>
      </c>
      <c r="I98" s="226">
        <v>0</v>
      </c>
      <c r="J98" s="226">
        <v>1.5046296296296297E-4</v>
      </c>
    </row>
    <row r="99" spans="1:10">
      <c r="A99" s="224" t="s">
        <v>513</v>
      </c>
      <c r="B99" s="225">
        <v>56</v>
      </c>
      <c r="C99" s="227">
        <v>0</v>
      </c>
      <c r="D99" s="227">
        <v>0</v>
      </c>
      <c r="E99" s="227">
        <v>0</v>
      </c>
      <c r="F99" s="227">
        <v>2.86E-2</v>
      </c>
      <c r="G99" s="227">
        <v>1</v>
      </c>
      <c r="H99" s="226">
        <v>2.650462962962963E-3</v>
      </c>
      <c r="I99" s="226">
        <v>0</v>
      </c>
      <c r="J99" s="226">
        <v>1.5046296296296297E-4</v>
      </c>
    </row>
    <row r="100" spans="1:10">
      <c r="A100" s="224" t="s">
        <v>514</v>
      </c>
      <c r="B100" s="225">
        <v>57</v>
      </c>
      <c r="C100" s="227">
        <v>4.7600000000000003E-2</v>
      </c>
      <c r="D100" s="227">
        <v>0</v>
      </c>
      <c r="E100" s="227">
        <v>0</v>
      </c>
      <c r="F100" s="227">
        <v>0.11899999999999999</v>
      </c>
      <c r="G100" s="227">
        <v>0</v>
      </c>
      <c r="H100" s="226">
        <v>2.9513888888888888E-3</v>
      </c>
      <c r="I100" s="226">
        <v>4.6296296296296298E-4</v>
      </c>
      <c r="J100" s="226">
        <v>9.2592592592592588E-5</v>
      </c>
    </row>
    <row r="101" spans="1:10">
      <c r="A101" s="224" t="s">
        <v>515</v>
      </c>
      <c r="B101" s="225">
        <v>58</v>
      </c>
      <c r="C101" s="227">
        <v>4.7600000000000003E-2</v>
      </c>
      <c r="D101" s="227">
        <v>0</v>
      </c>
      <c r="E101" s="227">
        <v>0</v>
      </c>
      <c r="F101" s="227">
        <v>0.11899999999999999</v>
      </c>
      <c r="G101" s="227">
        <v>0</v>
      </c>
      <c r="H101" s="226">
        <v>2.9513888888888888E-3</v>
      </c>
      <c r="I101" s="226">
        <v>4.6296296296296298E-4</v>
      </c>
      <c r="J101" s="226">
        <v>9.2592592592592588E-5</v>
      </c>
    </row>
    <row r="102" spans="1:10">
      <c r="A102" s="224" t="s">
        <v>516</v>
      </c>
      <c r="B102" s="225">
        <v>59</v>
      </c>
      <c r="C102" s="227">
        <v>2.9899999999999999E-2</v>
      </c>
      <c r="D102" s="227">
        <v>0</v>
      </c>
      <c r="E102" s="227">
        <v>0</v>
      </c>
      <c r="F102" s="227">
        <v>0.1045</v>
      </c>
      <c r="G102" s="227">
        <v>0</v>
      </c>
      <c r="H102" s="226">
        <v>2.7199074074074074E-3</v>
      </c>
      <c r="I102" s="226">
        <v>2.3148148148148147E-5</v>
      </c>
      <c r="J102" s="226">
        <v>1.6203703703703703E-4</v>
      </c>
    </row>
    <row r="103" spans="1:10">
      <c r="A103" s="224" t="s">
        <v>517</v>
      </c>
      <c r="B103" s="225">
        <v>60</v>
      </c>
      <c r="C103" s="227">
        <v>2.9899999999999999E-2</v>
      </c>
      <c r="D103" s="227">
        <v>0</v>
      </c>
      <c r="E103" s="227">
        <v>0</v>
      </c>
      <c r="F103" s="227">
        <v>0.1045</v>
      </c>
      <c r="G103" s="227">
        <v>0</v>
      </c>
      <c r="H103" s="226">
        <v>2.7199074074074074E-3</v>
      </c>
      <c r="I103" s="226">
        <v>2.3148148148148147E-5</v>
      </c>
      <c r="J103" s="226">
        <v>1.6203703703703703E-4</v>
      </c>
    </row>
    <row r="104" spans="1:10">
      <c r="A104" s="224" t="s">
        <v>518</v>
      </c>
      <c r="B104" s="225">
        <v>61</v>
      </c>
      <c r="C104" s="227">
        <v>2.7799999999999998E-2</v>
      </c>
      <c r="D104" s="227">
        <v>0</v>
      </c>
      <c r="E104" s="227">
        <v>0</v>
      </c>
      <c r="F104" s="227">
        <v>8.3299999999999999E-2</v>
      </c>
      <c r="G104" s="227">
        <v>0</v>
      </c>
      <c r="H104" s="226">
        <v>2.638888888888889E-3</v>
      </c>
      <c r="I104" s="226">
        <v>2.3148148148148147E-5</v>
      </c>
      <c r="J104" s="226">
        <v>6.9444444444444444E-5</v>
      </c>
    </row>
    <row r="105" spans="1:10">
      <c r="A105" s="224" t="s">
        <v>519</v>
      </c>
      <c r="B105" s="225">
        <v>62</v>
      </c>
      <c r="C105" s="227">
        <v>2.7799999999999998E-2</v>
      </c>
      <c r="D105" s="227">
        <v>0</v>
      </c>
      <c r="E105" s="227">
        <v>0</v>
      </c>
      <c r="F105" s="227">
        <v>8.3299999999999999E-2</v>
      </c>
      <c r="G105" s="227">
        <v>0</v>
      </c>
      <c r="H105" s="226">
        <v>2.638888888888889E-3</v>
      </c>
      <c r="I105" s="226">
        <v>2.3148148148148147E-5</v>
      </c>
      <c r="J105" s="226">
        <v>6.9444444444444444E-5</v>
      </c>
    </row>
    <row r="106" spans="1:10">
      <c r="A106" s="224" t="s">
        <v>520</v>
      </c>
      <c r="B106" s="225">
        <v>63</v>
      </c>
      <c r="C106" s="227">
        <v>0.1081</v>
      </c>
      <c r="D106" s="227">
        <v>0</v>
      </c>
      <c r="E106" s="227">
        <v>0</v>
      </c>
      <c r="F106" s="227">
        <v>0.16220000000000001</v>
      </c>
      <c r="G106" s="227">
        <v>8.3299999999999999E-2</v>
      </c>
      <c r="H106" s="226">
        <v>2.5925925925925925E-3</v>
      </c>
      <c r="I106" s="226">
        <v>1.273148148148148E-4</v>
      </c>
      <c r="J106" s="226">
        <v>1.0416666666666667E-4</v>
      </c>
    </row>
    <row r="107" spans="1:10">
      <c r="A107" s="224" t="s">
        <v>521</v>
      </c>
      <c r="B107" s="225">
        <v>64</v>
      </c>
      <c r="C107" s="227">
        <v>0.1081</v>
      </c>
      <c r="D107" s="227">
        <v>0</v>
      </c>
      <c r="E107" s="227">
        <v>0</v>
      </c>
      <c r="F107" s="227">
        <v>0.16220000000000001</v>
      </c>
      <c r="G107" s="227">
        <v>8.3299999999999999E-2</v>
      </c>
      <c r="H107" s="226">
        <v>2.5925925925925925E-3</v>
      </c>
      <c r="I107" s="226">
        <v>1.273148148148148E-4</v>
      </c>
      <c r="J107" s="226">
        <v>1.0416666666666667E-4</v>
      </c>
    </row>
    <row r="108" spans="1:10">
      <c r="A108" s="224" t="s">
        <v>522</v>
      </c>
      <c r="B108" s="225">
        <v>65</v>
      </c>
      <c r="C108" s="227">
        <v>4.8399999999999999E-2</v>
      </c>
      <c r="D108" s="227">
        <v>0</v>
      </c>
      <c r="E108" s="227">
        <v>0</v>
      </c>
      <c r="F108" s="227">
        <v>9.6799999999999997E-2</v>
      </c>
      <c r="G108" s="227">
        <v>0</v>
      </c>
      <c r="H108" s="226">
        <v>3.0671296296296297E-3</v>
      </c>
      <c r="I108" s="226">
        <v>0</v>
      </c>
      <c r="J108" s="226">
        <v>3.3564814814814812E-4</v>
      </c>
    </row>
    <row r="109" spans="1:10">
      <c r="A109" s="224" t="s">
        <v>523</v>
      </c>
      <c r="B109" s="225">
        <v>66</v>
      </c>
      <c r="C109" s="227">
        <v>4.8399999999999999E-2</v>
      </c>
      <c r="D109" s="227">
        <v>0</v>
      </c>
      <c r="E109" s="227">
        <v>0</v>
      </c>
      <c r="F109" s="227">
        <v>9.6799999999999997E-2</v>
      </c>
      <c r="G109" s="227">
        <v>0</v>
      </c>
      <c r="H109" s="226">
        <v>3.0671296296296297E-3</v>
      </c>
      <c r="I109" s="226">
        <v>0</v>
      </c>
      <c r="J109" s="226">
        <v>3.3564814814814812E-4</v>
      </c>
    </row>
    <row r="110" spans="1:10">
      <c r="A110" s="224" t="s">
        <v>524</v>
      </c>
      <c r="B110" s="225">
        <v>67</v>
      </c>
      <c r="C110" s="227">
        <v>0</v>
      </c>
      <c r="D110" s="227">
        <v>0</v>
      </c>
      <c r="E110" s="227">
        <v>0</v>
      </c>
      <c r="F110" s="227">
        <v>0</v>
      </c>
      <c r="G110" s="227">
        <v>0</v>
      </c>
      <c r="H110" s="226">
        <v>2.4537037037037036E-3</v>
      </c>
      <c r="I110" s="228"/>
      <c r="J110" s="226">
        <v>2.199074074074074E-4</v>
      </c>
    </row>
    <row r="111" spans="1:10">
      <c r="A111" s="224" t="s">
        <v>525</v>
      </c>
      <c r="B111" s="225">
        <v>68</v>
      </c>
      <c r="C111" s="227">
        <v>0</v>
      </c>
      <c r="D111" s="227">
        <v>0</v>
      </c>
      <c r="E111" s="227">
        <v>0</v>
      </c>
      <c r="F111" s="227">
        <v>0</v>
      </c>
      <c r="G111" s="227">
        <v>0</v>
      </c>
      <c r="H111" s="226">
        <v>2.4537037037037036E-3</v>
      </c>
      <c r="I111" s="228"/>
      <c r="J111" s="226">
        <v>2.199074074074074E-4</v>
      </c>
    </row>
    <row r="112" spans="1:10">
      <c r="A112" s="224" t="s">
        <v>526</v>
      </c>
      <c r="B112" s="225">
        <v>69</v>
      </c>
      <c r="C112" s="227">
        <v>5.2600000000000001E-2</v>
      </c>
      <c r="D112" s="227">
        <v>0</v>
      </c>
      <c r="E112" s="227">
        <v>0</v>
      </c>
      <c r="F112" s="227">
        <v>0.1447</v>
      </c>
      <c r="G112" s="227">
        <v>0.63639999999999997</v>
      </c>
      <c r="H112" s="226">
        <v>2.3958333333333331E-3</v>
      </c>
      <c r="I112" s="226">
        <v>0</v>
      </c>
      <c r="J112" s="226">
        <v>5.7870370370370373E-5</v>
      </c>
    </row>
    <row r="113" spans="1:10">
      <c r="A113" s="224" t="s">
        <v>527</v>
      </c>
      <c r="B113" s="225">
        <v>70</v>
      </c>
      <c r="C113" s="227">
        <v>5.2600000000000001E-2</v>
      </c>
      <c r="D113" s="227">
        <v>0</v>
      </c>
      <c r="E113" s="227">
        <v>0</v>
      </c>
      <c r="F113" s="227">
        <v>0.1447</v>
      </c>
      <c r="G113" s="227">
        <v>0.63639999999999997</v>
      </c>
      <c r="H113" s="226">
        <v>2.3958333333333331E-3</v>
      </c>
      <c r="I113" s="226">
        <v>0</v>
      </c>
      <c r="J113" s="226">
        <v>5.7870370370370373E-5</v>
      </c>
    </row>
    <row r="114" spans="1:10">
      <c r="A114" s="224" t="s">
        <v>528</v>
      </c>
      <c r="B114" s="225">
        <v>71</v>
      </c>
      <c r="C114" s="227">
        <v>2.7799999999999998E-2</v>
      </c>
      <c r="D114" s="227">
        <v>0</v>
      </c>
      <c r="E114" s="227">
        <v>1.37E-2</v>
      </c>
      <c r="F114" s="227">
        <v>4.1700000000000001E-2</v>
      </c>
      <c r="G114" s="227">
        <v>0</v>
      </c>
      <c r="H114" s="226">
        <v>2.4421296296296296E-3</v>
      </c>
      <c r="I114" s="226">
        <v>9.2592592592592588E-5</v>
      </c>
      <c r="J114" s="226">
        <v>1.273148148148148E-4</v>
      </c>
    </row>
    <row r="115" spans="1:10">
      <c r="A115" s="224" t="s">
        <v>529</v>
      </c>
      <c r="B115" s="225">
        <v>72</v>
      </c>
      <c r="C115" s="227">
        <v>2.7799999999999998E-2</v>
      </c>
      <c r="D115" s="227">
        <v>0</v>
      </c>
      <c r="E115" s="227">
        <v>1.37E-2</v>
      </c>
      <c r="F115" s="227">
        <v>4.1700000000000001E-2</v>
      </c>
      <c r="G115" s="227">
        <v>0</v>
      </c>
      <c r="H115" s="226">
        <v>2.4421296296296296E-3</v>
      </c>
      <c r="I115" s="226">
        <v>9.2592592592592588E-5</v>
      </c>
      <c r="J115" s="226">
        <v>1.273148148148148E-4</v>
      </c>
    </row>
    <row r="116" spans="1:10">
      <c r="A116" s="224" t="s">
        <v>530</v>
      </c>
      <c r="B116" s="225">
        <v>73</v>
      </c>
      <c r="C116" s="227">
        <v>3.0800000000000001E-2</v>
      </c>
      <c r="D116" s="227">
        <v>0</v>
      </c>
      <c r="E116" s="227">
        <v>2.9899999999999999E-2</v>
      </c>
      <c r="F116" s="227">
        <v>7.6899999999999996E-2</v>
      </c>
      <c r="G116" s="227">
        <v>0.2</v>
      </c>
      <c r="H116" s="226">
        <v>2.8124999999999999E-3</v>
      </c>
      <c r="I116" s="226">
        <v>1.1574074074074073E-5</v>
      </c>
      <c r="J116" s="226">
        <v>1.1574074074074075E-4</v>
      </c>
    </row>
    <row r="117" spans="1:10">
      <c r="A117" s="224" t="s">
        <v>531</v>
      </c>
      <c r="B117" s="225">
        <v>74</v>
      </c>
      <c r="C117" s="227">
        <v>3.0800000000000001E-2</v>
      </c>
      <c r="D117" s="227">
        <v>0</v>
      </c>
      <c r="E117" s="227">
        <v>2.9899999999999999E-2</v>
      </c>
      <c r="F117" s="227">
        <v>7.6899999999999996E-2</v>
      </c>
      <c r="G117" s="227">
        <v>0.2</v>
      </c>
      <c r="H117" s="226">
        <v>2.8124999999999999E-3</v>
      </c>
      <c r="I117" s="226">
        <v>1.1574074074074073E-5</v>
      </c>
      <c r="J117" s="226">
        <v>1.1574074074074075E-4</v>
      </c>
    </row>
    <row r="118" spans="1:10">
      <c r="A118" s="224" t="s">
        <v>532</v>
      </c>
      <c r="B118" s="225">
        <v>75</v>
      </c>
      <c r="C118" s="227">
        <v>0.13639999999999999</v>
      </c>
      <c r="D118" s="227">
        <v>0</v>
      </c>
      <c r="E118" s="227">
        <v>0</v>
      </c>
      <c r="F118" s="227">
        <v>0.20449999999999999</v>
      </c>
      <c r="G118" s="227">
        <v>0</v>
      </c>
      <c r="H118" s="226">
        <v>2.7546296296296294E-3</v>
      </c>
      <c r="I118" s="226">
        <v>7.291666666666667E-4</v>
      </c>
      <c r="J118" s="226">
        <v>8.1018518518518516E-5</v>
      </c>
    </row>
    <row r="119" spans="1:10">
      <c r="A119" s="224" t="s">
        <v>533</v>
      </c>
      <c r="B119" s="225">
        <v>76</v>
      </c>
      <c r="C119" s="227">
        <v>0.13639999999999999</v>
      </c>
      <c r="D119" s="227">
        <v>0</v>
      </c>
      <c r="E119" s="227">
        <v>0</v>
      </c>
      <c r="F119" s="227">
        <v>0.20449999999999999</v>
      </c>
      <c r="G119" s="227">
        <v>0</v>
      </c>
      <c r="H119" s="226">
        <v>2.7546296296296294E-3</v>
      </c>
      <c r="I119" s="226">
        <v>7.291666666666667E-4</v>
      </c>
      <c r="J119" s="226">
        <v>8.1018518518518516E-5</v>
      </c>
    </row>
    <row r="120" spans="1:10">
      <c r="A120" s="224" t="s">
        <v>534</v>
      </c>
      <c r="B120" s="225">
        <v>77</v>
      </c>
      <c r="C120" s="227">
        <v>1.6400000000000001E-2</v>
      </c>
      <c r="D120" s="227">
        <v>0</v>
      </c>
      <c r="E120" s="227">
        <v>0</v>
      </c>
      <c r="F120" s="227">
        <v>8.2000000000000003E-2</v>
      </c>
      <c r="G120" s="227">
        <v>0</v>
      </c>
      <c r="H120" s="226">
        <v>2.7199074074074074E-3</v>
      </c>
      <c r="I120" s="226">
        <v>3.4722222222222222E-5</v>
      </c>
      <c r="J120" s="226">
        <v>6.9444444444444444E-5</v>
      </c>
    </row>
    <row r="121" spans="1:10">
      <c r="A121" s="224" t="s">
        <v>535</v>
      </c>
      <c r="B121" s="225">
        <v>78</v>
      </c>
      <c r="C121" s="227">
        <v>1.6400000000000001E-2</v>
      </c>
      <c r="D121" s="227">
        <v>0</v>
      </c>
      <c r="E121" s="227">
        <v>0</v>
      </c>
      <c r="F121" s="227">
        <v>8.2000000000000003E-2</v>
      </c>
      <c r="G121" s="227">
        <v>0</v>
      </c>
      <c r="H121" s="226">
        <v>2.7199074074074074E-3</v>
      </c>
      <c r="I121" s="226">
        <v>3.4722222222222222E-5</v>
      </c>
      <c r="J121" s="226">
        <v>6.9444444444444444E-5</v>
      </c>
    </row>
    <row r="122" spans="1:10">
      <c r="A122" s="224" t="s">
        <v>536</v>
      </c>
      <c r="B122" s="225">
        <v>79</v>
      </c>
      <c r="C122" s="227">
        <v>0.13039999999999999</v>
      </c>
      <c r="D122" s="227">
        <v>0</v>
      </c>
      <c r="E122" s="227">
        <v>0</v>
      </c>
      <c r="F122" s="227">
        <v>0.19570000000000001</v>
      </c>
      <c r="G122" s="227">
        <v>0</v>
      </c>
      <c r="H122" s="226">
        <v>3.0092592592592593E-3</v>
      </c>
      <c r="I122" s="226">
        <v>0</v>
      </c>
      <c r="J122" s="226">
        <v>1.273148148148148E-4</v>
      </c>
    </row>
    <row r="123" spans="1:10">
      <c r="A123" s="224" t="s">
        <v>537</v>
      </c>
      <c r="B123" s="225">
        <v>80</v>
      </c>
      <c r="C123" s="227">
        <v>0.13039999999999999</v>
      </c>
      <c r="D123" s="227">
        <v>0</v>
      </c>
      <c r="E123" s="227">
        <v>0</v>
      </c>
      <c r="F123" s="227">
        <v>0.19570000000000001</v>
      </c>
      <c r="G123" s="227">
        <v>0</v>
      </c>
      <c r="H123" s="226">
        <v>3.0092592592592593E-3</v>
      </c>
      <c r="I123" s="226">
        <v>0</v>
      </c>
      <c r="J123" s="226">
        <v>1.273148148148148E-4</v>
      </c>
    </row>
    <row r="124" spans="1:10">
      <c r="A124" s="224" t="s">
        <v>538</v>
      </c>
      <c r="B124" s="225">
        <v>81</v>
      </c>
      <c r="C124" s="227">
        <v>6.5600000000000006E-2</v>
      </c>
      <c r="D124" s="227">
        <v>0</v>
      </c>
      <c r="E124" s="227">
        <v>0</v>
      </c>
      <c r="F124" s="227">
        <v>9.8400000000000001E-2</v>
      </c>
      <c r="G124" s="227">
        <v>0</v>
      </c>
      <c r="H124" s="226">
        <v>2.7777777777777779E-3</v>
      </c>
      <c r="I124" s="226">
        <v>1.0416666666666667E-4</v>
      </c>
      <c r="J124" s="226">
        <v>9.2592592592592588E-5</v>
      </c>
    </row>
    <row r="125" spans="1:10">
      <c r="A125" s="224" t="s">
        <v>539</v>
      </c>
      <c r="B125" s="225">
        <v>82</v>
      </c>
      <c r="C125" s="227">
        <v>6.5600000000000006E-2</v>
      </c>
      <c r="D125" s="227">
        <v>0</v>
      </c>
      <c r="E125" s="227">
        <v>0</v>
      </c>
      <c r="F125" s="227">
        <v>9.8400000000000001E-2</v>
      </c>
      <c r="G125" s="227">
        <v>0</v>
      </c>
      <c r="H125" s="226">
        <v>2.7777777777777779E-3</v>
      </c>
      <c r="I125" s="226">
        <v>1.0416666666666667E-4</v>
      </c>
      <c r="J125" s="226">
        <v>9.2592592592592588E-5</v>
      </c>
    </row>
    <row r="126" spans="1:10">
      <c r="A126" s="224" t="s">
        <v>540</v>
      </c>
      <c r="B126" s="225">
        <v>83</v>
      </c>
      <c r="C126" s="227">
        <v>0.1111</v>
      </c>
      <c r="D126" s="227">
        <v>0</v>
      </c>
      <c r="E126" s="227">
        <v>0</v>
      </c>
      <c r="F126" s="227">
        <v>0.127</v>
      </c>
      <c r="G126" s="227">
        <v>0</v>
      </c>
      <c r="H126" s="226">
        <v>2.3958333333333331E-3</v>
      </c>
      <c r="I126" s="226">
        <v>1.273148148148148E-4</v>
      </c>
      <c r="J126" s="226">
        <v>1.7361111111111112E-4</v>
      </c>
    </row>
    <row r="127" spans="1:10">
      <c r="A127" s="224" t="s">
        <v>541</v>
      </c>
      <c r="B127" s="225">
        <v>84</v>
      </c>
      <c r="C127" s="227">
        <v>0.1111</v>
      </c>
      <c r="D127" s="227">
        <v>0</v>
      </c>
      <c r="E127" s="227">
        <v>0</v>
      </c>
      <c r="F127" s="227">
        <v>0.127</v>
      </c>
      <c r="G127" s="227">
        <v>0</v>
      </c>
      <c r="H127" s="226">
        <v>2.3958333333333331E-3</v>
      </c>
      <c r="I127" s="226">
        <v>1.273148148148148E-4</v>
      </c>
      <c r="J127" s="226">
        <v>1.7361111111111112E-4</v>
      </c>
    </row>
    <row r="128" spans="1:10">
      <c r="A128" s="224" t="s">
        <v>542</v>
      </c>
      <c r="B128" s="225">
        <v>85</v>
      </c>
      <c r="C128" s="227">
        <v>5.45E-2</v>
      </c>
      <c r="D128" s="227">
        <v>0</v>
      </c>
      <c r="E128" s="227">
        <v>0</v>
      </c>
      <c r="F128" s="227">
        <v>0.14549999999999999</v>
      </c>
      <c r="G128" s="227">
        <v>0.125</v>
      </c>
      <c r="H128" s="226">
        <v>2.6157407407407405E-3</v>
      </c>
      <c r="I128" s="226">
        <v>5.9027777777777778E-4</v>
      </c>
      <c r="J128" s="226">
        <v>6.9444444444444444E-5</v>
      </c>
    </row>
    <row r="129" spans="1:10">
      <c r="A129" s="224" t="s">
        <v>543</v>
      </c>
      <c r="B129" s="225">
        <v>86</v>
      </c>
      <c r="C129" s="227">
        <v>5.45E-2</v>
      </c>
      <c r="D129" s="227">
        <v>0</v>
      </c>
      <c r="E129" s="227">
        <v>0</v>
      </c>
      <c r="F129" s="227">
        <v>0.14549999999999999</v>
      </c>
      <c r="G129" s="227">
        <v>0.125</v>
      </c>
      <c r="H129" s="226">
        <v>2.6157407407407405E-3</v>
      </c>
      <c r="I129" s="226">
        <v>5.9027777777777778E-4</v>
      </c>
      <c r="J129" s="226">
        <v>6.9444444444444444E-5</v>
      </c>
    </row>
    <row r="130" spans="1:10">
      <c r="A130" s="224" t="s">
        <v>544</v>
      </c>
      <c r="B130" s="225">
        <v>87</v>
      </c>
      <c r="C130" s="227">
        <v>0.10199999999999999</v>
      </c>
      <c r="D130" s="227">
        <v>0</v>
      </c>
      <c r="E130" s="227">
        <v>0.02</v>
      </c>
      <c r="F130" s="227">
        <v>0.10199999999999999</v>
      </c>
      <c r="G130" s="227">
        <v>0</v>
      </c>
      <c r="H130" s="226">
        <v>2.6967592592592594E-3</v>
      </c>
      <c r="I130" s="226">
        <v>0</v>
      </c>
      <c r="J130" s="226">
        <v>4.6296296296296294E-5</v>
      </c>
    </row>
    <row r="131" spans="1:10">
      <c r="A131" s="224" t="s">
        <v>545</v>
      </c>
      <c r="B131" s="225">
        <v>88</v>
      </c>
      <c r="C131" s="227">
        <v>0.10199999999999999</v>
      </c>
      <c r="D131" s="227">
        <v>0</v>
      </c>
      <c r="E131" s="227">
        <v>0.02</v>
      </c>
      <c r="F131" s="227">
        <v>0.10199999999999999</v>
      </c>
      <c r="G131" s="227">
        <v>0</v>
      </c>
      <c r="H131" s="226">
        <v>2.6967592592592594E-3</v>
      </c>
      <c r="I131" s="226">
        <v>0</v>
      </c>
      <c r="J131" s="226">
        <v>4.6296296296296294E-5</v>
      </c>
    </row>
    <row r="132" spans="1:10">
      <c r="A132" s="224" t="s">
        <v>546</v>
      </c>
      <c r="B132" s="225">
        <v>89</v>
      </c>
      <c r="C132" s="227">
        <v>0.1</v>
      </c>
      <c r="D132" s="227">
        <v>0</v>
      </c>
      <c r="E132" s="227">
        <v>0</v>
      </c>
      <c r="F132" s="227">
        <v>0.1</v>
      </c>
      <c r="G132" s="227">
        <v>0</v>
      </c>
      <c r="H132" s="226">
        <v>3.1365740740740742E-3</v>
      </c>
      <c r="I132" s="226">
        <v>0</v>
      </c>
      <c r="J132" s="226">
        <v>1.3888888888888889E-4</v>
      </c>
    </row>
    <row r="133" spans="1:10">
      <c r="A133" s="224" t="s">
        <v>547</v>
      </c>
      <c r="B133" s="225">
        <v>90</v>
      </c>
      <c r="C133" s="227">
        <v>0.1</v>
      </c>
      <c r="D133" s="227">
        <v>0</v>
      </c>
      <c r="E133" s="227">
        <v>0</v>
      </c>
      <c r="F133" s="227">
        <v>0.1</v>
      </c>
      <c r="G133" s="227">
        <v>0</v>
      </c>
      <c r="H133" s="226">
        <v>3.1365740740740742E-3</v>
      </c>
      <c r="I133" s="226">
        <v>0</v>
      </c>
      <c r="J133" s="226">
        <v>1.3888888888888889E-4</v>
      </c>
    </row>
    <row r="134" spans="1:10">
      <c r="A134" s="224" t="s">
        <v>548</v>
      </c>
      <c r="B134" s="225">
        <v>91</v>
      </c>
      <c r="C134" s="227">
        <v>3.39E-2</v>
      </c>
      <c r="D134" s="227">
        <v>0</v>
      </c>
      <c r="E134" s="227">
        <v>0</v>
      </c>
      <c r="F134" s="227">
        <v>0.1525</v>
      </c>
      <c r="G134" s="227">
        <v>0.1111</v>
      </c>
      <c r="H134" s="226">
        <v>3.1828703703703702E-3</v>
      </c>
      <c r="I134" s="226">
        <v>3.7037037037037035E-4</v>
      </c>
      <c r="J134" s="226">
        <v>4.6296296296296294E-5</v>
      </c>
    </row>
    <row r="135" spans="1:10">
      <c r="A135" s="224" t="s">
        <v>549</v>
      </c>
      <c r="B135" s="225">
        <v>92</v>
      </c>
      <c r="C135" s="227">
        <v>3.39E-2</v>
      </c>
      <c r="D135" s="227">
        <v>0</v>
      </c>
      <c r="E135" s="227">
        <v>0</v>
      </c>
      <c r="F135" s="227">
        <v>0.1525</v>
      </c>
      <c r="G135" s="227">
        <v>0.1111</v>
      </c>
      <c r="H135" s="226">
        <v>3.1828703703703702E-3</v>
      </c>
      <c r="I135" s="226">
        <v>3.7037037037037035E-4</v>
      </c>
      <c r="J135" s="226">
        <v>4.6296296296296294E-5</v>
      </c>
    </row>
    <row r="136" spans="1:10">
      <c r="A136" s="224" t="s">
        <v>550</v>
      </c>
      <c r="B136" s="225">
        <v>93</v>
      </c>
      <c r="C136" s="227">
        <v>6.3799999999999996E-2</v>
      </c>
      <c r="D136" s="227">
        <v>0</v>
      </c>
      <c r="E136" s="227">
        <v>0</v>
      </c>
      <c r="F136" s="227">
        <v>0.1915</v>
      </c>
      <c r="G136" s="227">
        <v>0</v>
      </c>
      <c r="H136" s="226">
        <v>3.472222222222222E-3</v>
      </c>
      <c r="I136" s="226">
        <v>1.5856481481481481E-3</v>
      </c>
      <c r="J136" s="226">
        <v>3.0092592592592595E-4</v>
      </c>
    </row>
    <row r="137" spans="1:10">
      <c r="A137" s="224" t="s">
        <v>551</v>
      </c>
      <c r="B137" s="225">
        <v>94</v>
      </c>
      <c r="C137" s="227">
        <v>6.3799999999999996E-2</v>
      </c>
      <c r="D137" s="227">
        <v>0</v>
      </c>
      <c r="E137" s="227">
        <v>0</v>
      </c>
      <c r="F137" s="227">
        <v>0.1915</v>
      </c>
      <c r="G137" s="227">
        <v>0</v>
      </c>
      <c r="H137" s="226">
        <v>3.472222222222222E-3</v>
      </c>
      <c r="I137" s="226">
        <v>1.5856481481481481E-3</v>
      </c>
      <c r="J137" s="226">
        <v>3.0092592592592595E-4</v>
      </c>
    </row>
    <row r="138" spans="1:10">
      <c r="A138" s="224" t="s">
        <v>552</v>
      </c>
      <c r="B138" s="225">
        <v>95</v>
      </c>
      <c r="C138" s="227">
        <v>0.11840000000000001</v>
      </c>
      <c r="D138" s="227">
        <v>0</v>
      </c>
      <c r="E138" s="227">
        <v>0</v>
      </c>
      <c r="F138" s="227">
        <v>0.23680000000000001</v>
      </c>
      <c r="G138" s="227">
        <v>5.5599999999999997E-2</v>
      </c>
      <c r="H138" s="226">
        <v>2.4537037037037036E-3</v>
      </c>
      <c r="I138" s="226">
        <v>2.6620370370370372E-4</v>
      </c>
      <c r="J138" s="226">
        <v>6.9444444444444444E-5</v>
      </c>
    </row>
    <row r="139" spans="1:10">
      <c r="A139" s="224" t="s">
        <v>553</v>
      </c>
      <c r="B139" s="225">
        <v>96</v>
      </c>
      <c r="C139" s="227">
        <v>0.11840000000000001</v>
      </c>
      <c r="D139" s="227">
        <v>0</v>
      </c>
      <c r="E139" s="227">
        <v>0</v>
      </c>
      <c r="F139" s="227">
        <v>0.23680000000000001</v>
      </c>
      <c r="G139" s="227">
        <v>5.5599999999999997E-2</v>
      </c>
      <c r="H139" s="226">
        <v>2.4537037037037036E-3</v>
      </c>
      <c r="I139" s="226">
        <v>2.6620370370370372E-4</v>
      </c>
      <c r="J139" s="226">
        <v>6.9444444444444444E-5</v>
      </c>
    </row>
    <row r="140" spans="1:10">
      <c r="A140" s="224" t="s">
        <v>554</v>
      </c>
      <c r="B140" s="225">
        <v>97</v>
      </c>
      <c r="C140" s="227">
        <v>7.1400000000000005E-2</v>
      </c>
      <c r="D140" s="227">
        <v>0</v>
      </c>
      <c r="E140" s="227">
        <v>0</v>
      </c>
      <c r="F140" s="227">
        <v>0.12859999999999999</v>
      </c>
      <c r="G140" s="227">
        <v>0.22220000000000001</v>
      </c>
      <c r="H140" s="226">
        <v>2.8240740740740739E-3</v>
      </c>
      <c r="I140" s="226">
        <v>4.0509259259259258E-4</v>
      </c>
      <c r="J140" s="226">
        <v>6.9444444444444444E-5</v>
      </c>
    </row>
    <row r="141" spans="1:10">
      <c r="A141" s="224" t="s">
        <v>555</v>
      </c>
      <c r="B141" s="225">
        <v>98</v>
      </c>
      <c r="C141" s="227">
        <v>7.1400000000000005E-2</v>
      </c>
      <c r="D141" s="227">
        <v>0</v>
      </c>
      <c r="E141" s="227">
        <v>0</v>
      </c>
      <c r="F141" s="227">
        <v>0.12859999999999999</v>
      </c>
      <c r="G141" s="227">
        <v>0.22220000000000001</v>
      </c>
      <c r="H141" s="226">
        <v>2.8240740740740739E-3</v>
      </c>
      <c r="I141" s="226">
        <v>4.0509259259259258E-4</v>
      </c>
      <c r="J141" s="226">
        <v>6.9444444444444444E-5</v>
      </c>
    </row>
    <row r="142" spans="1:10">
      <c r="A142" s="224" t="s">
        <v>556</v>
      </c>
      <c r="B142" s="225">
        <v>99</v>
      </c>
      <c r="C142" s="227">
        <v>0</v>
      </c>
      <c r="D142" s="227">
        <v>0</v>
      </c>
      <c r="E142" s="227">
        <v>0</v>
      </c>
      <c r="F142" s="227">
        <v>0.04</v>
      </c>
      <c r="G142" s="227">
        <v>0</v>
      </c>
      <c r="H142" s="226">
        <v>2.4074074074074076E-3</v>
      </c>
      <c r="I142" s="226">
        <v>7.8703703703703705E-4</v>
      </c>
      <c r="J142" s="226">
        <v>6.9444444444444444E-5</v>
      </c>
    </row>
    <row r="143" spans="1:10">
      <c r="A143" s="224" t="s">
        <v>557</v>
      </c>
      <c r="B143" s="225">
        <v>100</v>
      </c>
      <c r="C143" s="227">
        <v>0</v>
      </c>
      <c r="D143" s="227">
        <v>0</v>
      </c>
      <c r="E143" s="227">
        <v>0</v>
      </c>
      <c r="F143" s="227">
        <v>0.04</v>
      </c>
      <c r="G143" s="227">
        <v>0</v>
      </c>
      <c r="H143" s="226">
        <v>2.4074074074074076E-3</v>
      </c>
      <c r="I143" s="226">
        <v>7.8703703703703705E-4</v>
      </c>
      <c r="J143" s="226">
        <v>6.9444444444444444E-5</v>
      </c>
    </row>
    <row r="144" spans="1:10">
      <c r="A144" s="224" t="s">
        <v>558</v>
      </c>
      <c r="B144" s="225">
        <v>101</v>
      </c>
      <c r="C144" s="227">
        <v>3.1699999999999999E-2</v>
      </c>
      <c r="D144" s="227">
        <v>0</v>
      </c>
      <c r="E144" s="227">
        <v>0</v>
      </c>
      <c r="F144" s="227">
        <v>0.127</v>
      </c>
      <c r="G144" s="227">
        <v>0</v>
      </c>
      <c r="H144" s="226">
        <v>2.5694444444444445E-3</v>
      </c>
      <c r="I144" s="226">
        <v>5.6712962962962967E-4</v>
      </c>
      <c r="J144" s="226">
        <v>2.8935185185185184E-4</v>
      </c>
    </row>
    <row r="145" spans="1:10">
      <c r="A145" s="224" t="s">
        <v>559</v>
      </c>
      <c r="B145" s="225">
        <v>102</v>
      </c>
      <c r="C145" s="227">
        <v>3.1699999999999999E-2</v>
      </c>
      <c r="D145" s="227">
        <v>0</v>
      </c>
      <c r="E145" s="227">
        <v>0</v>
      </c>
      <c r="F145" s="227">
        <v>0.127</v>
      </c>
      <c r="G145" s="227">
        <v>0</v>
      </c>
      <c r="H145" s="226">
        <v>2.5694444444444445E-3</v>
      </c>
      <c r="I145" s="226">
        <v>5.6712962962962967E-4</v>
      </c>
      <c r="J145" s="226">
        <v>2.8935185185185184E-4</v>
      </c>
    </row>
    <row r="146" spans="1:10">
      <c r="A146" s="224" t="s">
        <v>560</v>
      </c>
      <c r="B146" s="225">
        <v>103</v>
      </c>
      <c r="C146" s="227">
        <v>0</v>
      </c>
      <c r="D146" s="227">
        <v>0</v>
      </c>
      <c r="E146" s="227">
        <v>0</v>
      </c>
      <c r="F146" s="227">
        <v>4.8399999999999999E-2</v>
      </c>
      <c r="G146" s="227">
        <v>0</v>
      </c>
      <c r="H146" s="226">
        <v>2.638888888888889E-3</v>
      </c>
      <c r="I146" s="226">
        <v>0</v>
      </c>
      <c r="J146" s="226">
        <v>6.9444444444444444E-5</v>
      </c>
    </row>
    <row r="147" spans="1:10">
      <c r="A147" s="224" t="s">
        <v>561</v>
      </c>
      <c r="B147" s="225">
        <v>104</v>
      </c>
      <c r="C147" s="227">
        <v>0</v>
      </c>
      <c r="D147" s="227">
        <v>0</v>
      </c>
      <c r="E147" s="227">
        <v>0</v>
      </c>
      <c r="F147" s="227">
        <v>4.8399999999999999E-2</v>
      </c>
      <c r="G147" s="227">
        <v>0</v>
      </c>
      <c r="H147" s="226">
        <v>2.638888888888889E-3</v>
      </c>
      <c r="I147" s="226">
        <v>0</v>
      </c>
      <c r="J147" s="226">
        <v>6.9444444444444444E-5</v>
      </c>
    </row>
    <row r="148" spans="1:10">
      <c r="A148" s="224" t="s">
        <v>562</v>
      </c>
      <c r="B148" s="225">
        <v>105</v>
      </c>
      <c r="C148" s="227">
        <v>3.2800000000000003E-2</v>
      </c>
      <c r="D148" s="227">
        <v>0</v>
      </c>
      <c r="E148" s="227">
        <v>0</v>
      </c>
      <c r="F148" s="227">
        <v>6.5600000000000006E-2</v>
      </c>
      <c r="G148" s="227">
        <v>0.25</v>
      </c>
      <c r="H148" s="226">
        <v>2.650462962962963E-3</v>
      </c>
      <c r="I148" s="226">
        <v>0</v>
      </c>
      <c r="J148" s="226">
        <v>1.0416666666666667E-4</v>
      </c>
    </row>
    <row r="149" spans="1:10">
      <c r="A149" s="224" t="s">
        <v>563</v>
      </c>
      <c r="B149" s="225">
        <v>106</v>
      </c>
      <c r="C149" s="227">
        <v>3.2800000000000003E-2</v>
      </c>
      <c r="D149" s="227">
        <v>0</v>
      </c>
      <c r="E149" s="227">
        <v>0</v>
      </c>
      <c r="F149" s="227">
        <v>6.5600000000000006E-2</v>
      </c>
      <c r="G149" s="227">
        <v>0.25</v>
      </c>
      <c r="H149" s="226">
        <v>2.650462962962963E-3</v>
      </c>
      <c r="I149" s="226">
        <v>0</v>
      </c>
      <c r="J149" s="226">
        <v>1.0416666666666667E-4</v>
      </c>
    </row>
    <row r="150" spans="1:10">
      <c r="A150" s="224" t="s">
        <v>564</v>
      </c>
      <c r="B150" s="225">
        <v>107</v>
      </c>
      <c r="C150" s="227">
        <v>3.2800000000000003E-2</v>
      </c>
      <c r="D150" s="227">
        <v>0</v>
      </c>
      <c r="E150" s="227">
        <v>0</v>
      </c>
      <c r="F150" s="227">
        <v>9.8400000000000001E-2</v>
      </c>
      <c r="G150" s="227">
        <v>0</v>
      </c>
      <c r="H150" s="226">
        <v>2.8240740740740739E-3</v>
      </c>
      <c r="I150" s="226">
        <v>1.1574074074074075E-4</v>
      </c>
      <c r="J150" s="226">
        <v>8.1018518518518516E-5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82C4-EFEC-4FA5-8245-09BC6392B270}">
  <dimension ref="A1:G150"/>
  <sheetViews>
    <sheetView workbookViewId="0">
      <selection sqref="A1:G150"/>
    </sheetView>
  </sheetViews>
  <sheetFormatPr defaultRowHeight="15"/>
  <cols>
    <col min="1" max="1" width="27" customWidth="1"/>
    <col min="2" max="2" width="19.85546875" style="3" customWidth="1"/>
    <col min="3" max="3" width="9.42578125" customWidth="1"/>
    <col min="4" max="4" width="12" bestFit="1" customWidth="1"/>
    <col min="5" max="5" width="10.42578125" customWidth="1"/>
    <col min="6" max="6" width="5.140625" customWidth="1"/>
    <col min="7" max="7" width="7" customWidth="1"/>
    <col min="9" max="9" width="21.140625" bestFit="1" customWidth="1"/>
  </cols>
  <sheetData>
    <row r="1" spans="1:7">
      <c r="A1" s="229" t="s">
        <v>565</v>
      </c>
      <c r="B1" s="235"/>
      <c r="C1" s="229" t="s">
        <v>590</v>
      </c>
      <c r="D1" s="230" t="s">
        <v>567</v>
      </c>
      <c r="E1" s="230" t="s">
        <v>415</v>
      </c>
      <c r="F1" s="230" t="s">
        <v>568</v>
      </c>
      <c r="G1" s="230" t="s">
        <v>570</v>
      </c>
    </row>
    <row r="2" spans="1:7" ht="16.5" customHeight="1">
      <c r="A2" s="224" t="s">
        <v>416</v>
      </c>
      <c r="B2" s="234" t="str">
        <f>MID(A2,FIND("_",A2,1)+1,FIND("(",A2,1)-FIND("_",A2,1)-2)</f>
        <v>Abdul Hamid</v>
      </c>
      <c r="C2" s="236">
        <v>0.34216435185185184</v>
      </c>
      <c r="D2" s="236">
        <v>0.20693287037037036</v>
      </c>
      <c r="E2" s="236">
        <v>4.7708333333333332E-2</v>
      </c>
      <c r="F2" s="237">
        <f>VLOOKUP(A2,E_DATA,4,0)</f>
        <v>98</v>
      </c>
      <c r="G2" s="232">
        <f>VLOOKUP(A2,E_DATA,6,0)</f>
        <v>0.55700000000000005</v>
      </c>
    </row>
    <row r="3" spans="1:7">
      <c r="A3" s="224" t="s">
        <v>417</v>
      </c>
      <c r="B3" s="233" t="str">
        <f t="shared" ref="B3:B66" si="0">MID(A3,FIND("_",A3,1)+1,FIND("(",A3,1)-FIND("_",A3,1)-2)</f>
        <v>Afzal Husain</v>
      </c>
      <c r="C3" s="236">
        <f>VLOOKUP(A3,E_DATA,2,0)</f>
        <v>0.34416666666666668</v>
      </c>
      <c r="D3" s="236">
        <v>0.20733796296296297</v>
      </c>
      <c r="E3" s="236">
        <v>4.8599537037037038E-2</v>
      </c>
      <c r="F3" s="237">
        <f>VLOOKUP(A3,E_DATA,4,0)</f>
        <v>23</v>
      </c>
      <c r="G3" s="232">
        <f>VLOOKUP(A3,E_DATA,6,0)</f>
        <v>0.58030000000000004</v>
      </c>
    </row>
    <row r="4" spans="1:7">
      <c r="A4" s="224" t="s">
        <v>418</v>
      </c>
      <c r="B4" s="233" t="str">
        <f t="shared" si="0"/>
        <v>Anamika Gupta</v>
      </c>
      <c r="C4" s="236">
        <f>VLOOKUP(A4,E_DATA,2,0)</f>
        <v>0.34510416666666666</v>
      </c>
      <c r="D4" s="236">
        <v>0.20109953703703703</v>
      </c>
      <c r="E4" s="236">
        <v>5.1319444444444445E-2</v>
      </c>
      <c r="F4" s="237">
        <f>VLOOKUP(A4,E_DATA,4,0)</f>
        <v>28</v>
      </c>
      <c r="G4" s="232">
        <f>VLOOKUP(A4,E_DATA,6,0)</f>
        <v>0.5171</v>
      </c>
    </row>
    <row r="5" spans="1:7">
      <c r="A5" s="224" t="s">
        <v>419</v>
      </c>
      <c r="B5" s="233" t="str">
        <f t="shared" si="0"/>
        <v>Anikuttan</v>
      </c>
      <c r="C5" s="236">
        <f>VLOOKUP(A5,E_DATA,2,0)</f>
        <v>0.34023148148148147</v>
      </c>
      <c r="D5" s="236">
        <v>0.17884259259259258</v>
      </c>
      <c r="E5" s="236">
        <v>9.6550925925925929E-2</v>
      </c>
      <c r="F5" s="237">
        <f>VLOOKUP(A5,E_DATA,4,0)</f>
        <v>29</v>
      </c>
      <c r="G5" s="232">
        <f>VLOOKUP(A5,E_DATA,6,0)</f>
        <v>0.47720000000000001</v>
      </c>
    </row>
    <row r="6" spans="1:7">
      <c r="A6" s="224" t="s">
        <v>420</v>
      </c>
      <c r="B6" s="233" t="str">
        <f t="shared" si="0"/>
        <v>Anil Kumar</v>
      </c>
      <c r="C6" s="236">
        <f>VLOOKUP(A6,E_DATA,2,0)</f>
        <v>0.30603009259259262</v>
      </c>
      <c r="D6" s="236">
        <v>0.13870370370370369</v>
      </c>
      <c r="E6" s="236">
        <v>0.12844907407407408</v>
      </c>
      <c r="F6" s="237">
        <f>VLOOKUP(A6,E_DATA,4,0)</f>
        <v>93</v>
      </c>
      <c r="G6" s="232">
        <f>VLOOKUP(A6,E_DATA,6,0)</f>
        <v>0.43290000000000001</v>
      </c>
    </row>
    <row r="7" spans="1:7">
      <c r="A7" s="224" t="s">
        <v>421</v>
      </c>
      <c r="B7" s="233" t="str">
        <f t="shared" si="0"/>
        <v>Anita Dixit</v>
      </c>
      <c r="C7" s="236">
        <f>VLOOKUP(A7,E_DATA,2,0)</f>
        <v>0.2084375</v>
      </c>
      <c r="D7" s="236">
        <v>0.15369212962962964</v>
      </c>
      <c r="E7" s="236">
        <v>1.8831018518518518E-2</v>
      </c>
      <c r="F7" s="237">
        <f>VLOOKUP(A7,E_DATA,4,0)</f>
        <v>92</v>
      </c>
      <c r="G7" s="232">
        <f>VLOOKUP(A7,E_DATA,6,0)</f>
        <v>0.65500000000000003</v>
      </c>
    </row>
    <row r="8" spans="1:7">
      <c r="A8" s="224" t="s">
        <v>422</v>
      </c>
      <c r="B8" s="233" t="str">
        <f t="shared" si="0"/>
        <v>Anita Ghore</v>
      </c>
      <c r="C8" s="236">
        <f>VLOOKUP(A8,E_DATA,2,0)</f>
        <v>0.34488425925925925</v>
      </c>
      <c r="D8" s="236">
        <v>0.17553240740740741</v>
      </c>
      <c r="E8" s="236">
        <v>0.11229166666666666</v>
      </c>
      <c r="F8" s="237">
        <f>VLOOKUP(A8,E_DATA,4,0)</f>
        <v>26</v>
      </c>
      <c r="G8" s="232">
        <f>VLOOKUP(A8,E_DATA,6,0)</f>
        <v>0.49480000000000002</v>
      </c>
    </row>
    <row r="9" spans="1:7">
      <c r="A9" s="224" t="s">
        <v>423</v>
      </c>
      <c r="B9" s="233" t="str">
        <f t="shared" si="0"/>
        <v>Anjali Deoram</v>
      </c>
      <c r="C9" s="236">
        <f>VLOOKUP(A9,E_DATA,2,0)</f>
        <v>0.38646990740740739</v>
      </c>
      <c r="D9" s="236">
        <v>0.24453703703703702</v>
      </c>
      <c r="E9" s="236">
        <v>5.0810185185185187E-2</v>
      </c>
      <c r="F9" s="237">
        <f>VLOOKUP(A9,E_DATA,4,0)</f>
        <v>90</v>
      </c>
      <c r="G9" s="232">
        <f>VLOOKUP(A9,E_DATA,6,0)</f>
        <v>0.55130000000000001</v>
      </c>
    </row>
    <row r="10" spans="1:7">
      <c r="A10" s="224" t="s">
        <v>424</v>
      </c>
      <c r="B10" s="233" t="str">
        <f t="shared" si="0"/>
        <v>Anjali Sahay</v>
      </c>
      <c r="C10" s="236">
        <f>VLOOKUP(A10,E_DATA,2,0)</f>
        <v>0.34256944444444443</v>
      </c>
      <c r="D10" s="236">
        <v>0.20311342592592593</v>
      </c>
      <c r="E10" s="236">
        <v>4.628472222222222E-2</v>
      </c>
      <c r="F10" s="237">
        <f>VLOOKUP(A10,E_DATA,4,0)</f>
        <v>89</v>
      </c>
      <c r="G10" s="232">
        <f>VLOOKUP(A10,E_DATA,6,0)</f>
        <v>0.55210000000000004</v>
      </c>
    </row>
    <row r="11" spans="1:7">
      <c r="A11" s="224" t="s">
        <v>425</v>
      </c>
      <c r="B11" s="233" t="str">
        <f t="shared" si="0"/>
        <v>Annu Latika</v>
      </c>
      <c r="C11" s="236">
        <f>VLOOKUP(A11,E_DATA,2,0)</f>
        <v>0.34769675925925925</v>
      </c>
      <c r="D11" s="236">
        <v>0.20702546296296295</v>
      </c>
      <c r="E11" s="236">
        <v>4.8576388888888891E-2</v>
      </c>
      <c r="F11" s="237">
        <f>VLOOKUP(A11,E_DATA,4,0)</f>
        <v>54</v>
      </c>
      <c r="G11" s="232">
        <f>VLOOKUP(A11,E_DATA,6,0)</f>
        <v>0.56869999999999998</v>
      </c>
    </row>
    <row r="12" spans="1:7">
      <c r="A12" s="224" t="s">
        <v>426</v>
      </c>
      <c r="B12" s="233" t="str">
        <f t="shared" si="0"/>
        <v>Anoop Narayan</v>
      </c>
      <c r="C12" s="236">
        <f>VLOOKUP(A12,E_DATA,2,0)</f>
        <v>0.34068287037037037</v>
      </c>
      <c r="D12" s="236">
        <v>0.20518518518518519</v>
      </c>
      <c r="E12" s="236">
        <v>4.809027777777778E-2</v>
      </c>
      <c r="F12" s="237">
        <f>VLOOKUP(A12,E_DATA,4,0)</f>
        <v>87</v>
      </c>
      <c r="G12" s="232">
        <f>VLOOKUP(A12,E_DATA,6,0)</f>
        <v>0.56040000000000001</v>
      </c>
    </row>
    <row r="13" spans="1:7">
      <c r="A13" s="224" t="s">
        <v>427</v>
      </c>
      <c r="B13" s="233" t="str">
        <f t="shared" si="0"/>
        <v>Anoop Raj</v>
      </c>
      <c r="C13" s="236">
        <f>VLOOKUP(A13,E_DATA,2,0)</f>
        <v>0.33622685185185186</v>
      </c>
      <c r="D13" s="236">
        <v>0.15812499999999999</v>
      </c>
      <c r="E13" s="236">
        <v>0.12590277777777778</v>
      </c>
      <c r="F13" s="237">
        <f>VLOOKUP(A13,E_DATA,4,0)</f>
        <v>65</v>
      </c>
      <c r="G13" s="232">
        <f>VLOOKUP(A13,E_DATA,6,0)</f>
        <v>0.41549999999999998</v>
      </c>
    </row>
    <row r="14" spans="1:7">
      <c r="A14" s="224" t="s">
        <v>428</v>
      </c>
      <c r="B14" s="233" t="str">
        <f t="shared" si="0"/>
        <v>Anubhuti Gupta</v>
      </c>
      <c r="C14" s="236">
        <f>VLOOKUP(A14,E_DATA,2,0)</f>
        <v>0.34349537037037037</v>
      </c>
      <c r="D14" s="236">
        <v>0.19699074074074074</v>
      </c>
      <c r="E14" s="236">
        <v>8.7974537037037032E-2</v>
      </c>
      <c r="F14" s="237">
        <f>VLOOKUP(A14,E_DATA,4,0)</f>
        <v>85</v>
      </c>
      <c r="G14" s="232">
        <f>VLOOKUP(A14,E_DATA,6,0)</f>
        <v>0.50029999999999997</v>
      </c>
    </row>
    <row r="15" spans="1:7">
      <c r="A15" s="224" t="s">
        <v>429</v>
      </c>
      <c r="B15" s="233" t="str">
        <f t="shared" si="0"/>
        <v>Arun Kumar</v>
      </c>
      <c r="C15" s="236">
        <f>VLOOKUP(A15,E_DATA,2,0)</f>
        <v>0.33321759259259259</v>
      </c>
      <c r="D15" s="236">
        <v>0.19475694444444444</v>
      </c>
      <c r="E15" s="236">
        <v>4.9004629629629627E-2</v>
      </c>
      <c r="F15" s="237">
        <f>VLOOKUP(A15,E_DATA,4,0)</f>
        <v>65</v>
      </c>
      <c r="G15" s="232">
        <f>VLOOKUP(A15,E_DATA,6,0)</f>
        <v>0.51400000000000001</v>
      </c>
    </row>
    <row r="16" spans="1:7">
      <c r="A16" s="224" t="s">
        <v>430</v>
      </c>
      <c r="B16" s="233" t="str">
        <f t="shared" si="0"/>
        <v>Ashish Kumar</v>
      </c>
      <c r="C16" s="236">
        <f>VLOOKUP(A16,E_DATA,2,0)</f>
        <v>0.34512731481481479</v>
      </c>
      <c r="D16" s="236">
        <v>0.2066550925925926</v>
      </c>
      <c r="E16" s="236">
        <v>5.3460648148148146E-2</v>
      </c>
      <c r="F16" s="237">
        <f>VLOOKUP(A16,E_DATA,4,0)</f>
        <v>83</v>
      </c>
      <c r="G16" s="232">
        <f>VLOOKUP(A16,E_DATA,6,0)</f>
        <v>0.51060000000000005</v>
      </c>
    </row>
    <row r="17" spans="1:7">
      <c r="A17" s="224" t="s">
        <v>431</v>
      </c>
      <c r="B17" s="233" t="str">
        <f t="shared" si="0"/>
        <v>Ashok Kumar</v>
      </c>
      <c r="C17" s="236">
        <f>VLOOKUP(A17,E_DATA,2,0)</f>
        <v>0.34531250000000002</v>
      </c>
      <c r="D17" s="236">
        <v>0.17390046296296297</v>
      </c>
      <c r="E17" s="236">
        <v>0.10023148148148148</v>
      </c>
      <c r="F17" s="237">
        <f>VLOOKUP(A17,E_DATA,4,0)</f>
        <v>82</v>
      </c>
      <c r="G17" s="232">
        <f>VLOOKUP(A17,E_DATA,6,0)</f>
        <v>0.4829</v>
      </c>
    </row>
    <row r="18" spans="1:7">
      <c r="A18" s="224" t="s">
        <v>432</v>
      </c>
      <c r="B18" s="233" t="str">
        <f t="shared" si="0"/>
        <v>Ashok Kumar</v>
      </c>
      <c r="C18" s="236">
        <f>VLOOKUP(A18,E_DATA,2,0)</f>
        <v>0.32848379629629632</v>
      </c>
      <c r="D18" s="236">
        <v>0.1973611111111111</v>
      </c>
      <c r="E18" s="236">
        <v>3.9224537037037037E-2</v>
      </c>
      <c r="F18" s="237">
        <f>VLOOKUP(A18,E_DATA,4,0)</f>
        <v>81</v>
      </c>
      <c r="G18" s="232">
        <f>VLOOKUP(A18,E_DATA,6,0)</f>
        <v>0.5736</v>
      </c>
    </row>
    <row r="19" spans="1:7">
      <c r="A19" s="224" t="s">
        <v>433</v>
      </c>
      <c r="B19" s="233" t="str">
        <f t="shared" si="0"/>
        <v>Ashok Kumar</v>
      </c>
      <c r="C19" s="236">
        <f>VLOOKUP(A19,E_DATA,2,0)</f>
        <v>0.34494212962962961</v>
      </c>
      <c r="D19" s="236">
        <v>0.20702546296296295</v>
      </c>
      <c r="E19" s="236">
        <v>4.8692129629629627E-2</v>
      </c>
      <c r="F19" s="237">
        <f>VLOOKUP(A19,E_DATA,4,0)</f>
        <v>80</v>
      </c>
      <c r="G19" s="232">
        <f>VLOOKUP(A19,E_DATA,6,0)</f>
        <v>0.56430000000000002</v>
      </c>
    </row>
    <row r="20" spans="1:7">
      <c r="A20" s="224" t="s">
        <v>434</v>
      </c>
      <c r="B20" s="233" t="str">
        <f t="shared" si="0"/>
        <v>Ashok Kumar</v>
      </c>
      <c r="C20" s="236">
        <f>VLOOKUP(A20,E_DATA,2,0)</f>
        <v>0.34810185185185183</v>
      </c>
      <c r="D20" s="236">
        <v>0.18267361111111111</v>
      </c>
      <c r="E20" s="236">
        <v>0.11122685185185185</v>
      </c>
      <c r="F20" s="237">
        <f>VLOOKUP(A20,E_DATA,4,0)</f>
        <v>79</v>
      </c>
      <c r="G20" s="232">
        <f>VLOOKUP(A20,E_DATA,6,0)</f>
        <v>0.46970000000000001</v>
      </c>
    </row>
    <row r="21" spans="1:7">
      <c r="A21" s="224" t="s">
        <v>435</v>
      </c>
      <c r="B21" s="233" t="str">
        <f t="shared" si="0"/>
        <v>Ashok Mahto</v>
      </c>
      <c r="C21" s="236">
        <f>VLOOKUP(A21,E_DATA,2,0)</f>
        <v>0.34574074074074074</v>
      </c>
      <c r="D21" s="236">
        <v>0.20710648148148147</v>
      </c>
      <c r="E21" s="236">
        <v>5.1736111111111108E-2</v>
      </c>
      <c r="F21" s="237">
        <f>VLOOKUP(A21,E_DATA,4,0)</f>
        <v>78</v>
      </c>
      <c r="G21" s="232">
        <f>VLOOKUP(A21,E_DATA,6,0)</f>
        <v>0.57499999999999996</v>
      </c>
    </row>
    <row r="22" spans="1:7">
      <c r="A22" s="224" t="s">
        <v>436</v>
      </c>
      <c r="B22" s="233" t="str">
        <f t="shared" si="0"/>
        <v>Atul Kumar</v>
      </c>
      <c r="C22" s="236">
        <f>VLOOKUP(A22,E_DATA,2,0)</f>
        <v>0.34283564814814815</v>
      </c>
      <c r="D22" s="236">
        <v>0.20393518518518519</v>
      </c>
      <c r="E22" s="236">
        <v>4.6516203703703705E-2</v>
      </c>
      <c r="F22" s="237">
        <f>VLOOKUP(A22,E_DATA,4,0)</f>
        <v>77</v>
      </c>
      <c r="G22" s="232">
        <f>VLOOKUP(A22,E_DATA,6,0)</f>
        <v>0.57950000000000002</v>
      </c>
    </row>
    <row r="23" spans="1:7">
      <c r="A23" s="224" t="s">
        <v>437</v>
      </c>
      <c r="B23" s="233" t="str">
        <f t="shared" si="0"/>
        <v>Azam</v>
      </c>
      <c r="C23" s="236">
        <f>VLOOKUP(A23,E_DATA,2,0)</f>
        <v>0.34553240740740743</v>
      </c>
      <c r="D23" s="236">
        <v>0.20821759259259259</v>
      </c>
      <c r="E23" s="236">
        <v>4.8460648148148149E-2</v>
      </c>
      <c r="F23" s="237">
        <f>VLOOKUP(A23,E_DATA,4,0)</f>
        <v>76</v>
      </c>
      <c r="G23" s="232">
        <f>VLOOKUP(A23,E_DATA,6,0)</f>
        <v>0.58830000000000005</v>
      </c>
    </row>
    <row r="24" spans="1:7">
      <c r="A24" s="224" t="s">
        <v>438</v>
      </c>
      <c r="B24" s="233" t="str">
        <f t="shared" si="0"/>
        <v>Bhagwat Singh</v>
      </c>
      <c r="C24" s="236">
        <f>VLOOKUP(A24,E_DATA,2,0)</f>
        <v>0.32064814814814813</v>
      </c>
      <c r="D24" s="236">
        <v>0.17288194444444444</v>
      </c>
      <c r="E24" s="236">
        <v>9.0486111111111114E-2</v>
      </c>
      <c r="F24" s="237">
        <f>VLOOKUP(A24,E_DATA,4,0)</f>
        <v>75</v>
      </c>
      <c r="G24" s="232">
        <f>VLOOKUP(A24,E_DATA,6,0)</f>
        <v>0.4627</v>
      </c>
    </row>
    <row r="25" spans="1:7">
      <c r="A25" s="224" t="s">
        <v>439</v>
      </c>
      <c r="B25" s="233" t="str">
        <f t="shared" si="0"/>
        <v>Bindu Nair</v>
      </c>
      <c r="C25" s="236">
        <f>VLOOKUP(A25,E_DATA,2,0)</f>
        <v>0.34032407407407406</v>
      </c>
      <c r="D25" s="236">
        <v>0.17644675925925926</v>
      </c>
      <c r="E25" s="236">
        <v>9.1168981481481476E-2</v>
      </c>
      <c r="F25" s="237">
        <f>VLOOKUP(A25,E_DATA,4,0)</f>
        <v>74</v>
      </c>
      <c r="G25" s="232">
        <f>VLOOKUP(A25,E_DATA,6,0)</f>
        <v>0.47799999999999998</v>
      </c>
    </row>
    <row r="26" spans="1:7">
      <c r="A26" s="224" t="s">
        <v>440</v>
      </c>
      <c r="B26" s="233" t="str">
        <f t="shared" si="0"/>
        <v>Daleep Singh</v>
      </c>
      <c r="C26" s="236">
        <f>VLOOKUP(A26,E_DATA,2,0)</f>
        <v>0.34328703703703706</v>
      </c>
      <c r="D26" s="236">
        <v>0.22703703703703704</v>
      </c>
      <c r="E26" s="236">
        <v>5.0625000000000003E-2</v>
      </c>
      <c r="F26" s="237">
        <f>VLOOKUP(A26,E_DATA,4,0)</f>
        <v>73</v>
      </c>
      <c r="G26" s="232">
        <f>VLOOKUP(A26,E_DATA,6,0)</f>
        <v>0.5998</v>
      </c>
    </row>
    <row r="27" spans="1:7">
      <c r="A27" s="224" t="s">
        <v>441</v>
      </c>
      <c r="B27" s="233" t="str">
        <f t="shared" si="0"/>
        <v>Deepak Kumar</v>
      </c>
      <c r="C27" s="236">
        <f>VLOOKUP(A27,E_DATA,2,0)</f>
        <v>0.31663194444444442</v>
      </c>
      <c r="D27" s="236">
        <v>0.21199074074074073</v>
      </c>
      <c r="E27" s="236">
        <v>2.1180555555555557E-2</v>
      </c>
      <c r="F27" s="237">
        <f>VLOOKUP(A27,E_DATA,4,0)</f>
        <v>72</v>
      </c>
      <c r="G27" s="232">
        <f>VLOOKUP(A27,E_DATA,6,0)</f>
        <v>0.65029999999999999</v>
      </c>
    </row>
    <row r="28" spans="1:7">
      <c r="A28" s="224" t="s">
        <v>442</v>
      </c>
      <c r="B28" s="233" t="str">
        <f t="shared" si="0"/>
        <v>Deepika Nigam</v>
      </c>
      <c r="C28" s="236">
        <f>VLOOKUP(A28,E_DATA,2,0)</f>
        <v>0.34512731481481479</v>
      </c>
      <c r="D28" s="236">
        <v>0.20607638888888888</v>
      </c>
      <c r="E28" s="236">
        <v>4.9768518518518517E-2</v>
      </c>
      <c r="F28" s="237">
        <f>VLOOKUP(A28,E_DATA,4,0)</f>
        <v>71</v>
      </c>
      <c r="G28" s="232">
        <f>VLOOKUP(A28,E_DATA,6,0)</f>
        <v>0.55000000000000004</v>
      </c>
    </row>
    <row r="29" spans="1:7">
      <c r="A29" s="224" t="s">
        <v>443</v>
      </c>
      <c r="B29" s="233" t="str">
        <f t="shared" si="0"/>
        <v>Dinesh Kumar</v>
      </c>
      <c r="C29" s="236">
        <f>VLOOKUP(A29,E_DATA,2,0)</f>
        <v>0.34297453703703706</v>
      </c>
      <c r="D29" s="236">
        <v>0.21273148148148149</v>
      </c>
      <c r="E29" s="236">
        <v>4.8645833333333333E-2</v>
      </c>
      <c r="F29" s="237">
        <f>VLOOKUP(A29,E_DATA,4,0)</f>
        <v>70</v>
      </c>
      <c r="G29" s="232">
        <f>VLOOKUP(A29,E_DATA,6,0)</f>
        <v>0.51329999999999998</v>
      </c>
    </row>
    <row r="30" spans="1:7">
      <c r="A30" s="224" t="s">
        <v>444</v>
      </c>
      <c r="B30" s="233" t="str">
        <f t="shared" si="0"/>
        <v>Hari Kumar</v>
      </c>
      <c r="C30" s="236">
        <f>VLOOKUP(A30,E_DATA,2,0)</f>
        <v>0.34387731481481482</v>
      </c>
      <c r="D30" s="236">
        <v>0.17480324074074075</v>
      </c>
      <c r="E30" s="236">
        <v>0.11449074074074074</v>
      </c>
      <c r="F30" s="237">
        <f>VLOOKUP(A30,E_DATA,4,0)</f>
        <v>69</v>
      </c>
      <c r="G30" s="232">
        <f>VLOOKUP(A30,E_DATA,6,0)</f>
        <v>0.436</v>
      </c>
    </row>
    <row r="31" spans="1:7">
      <c r="A31" s="224" t="s">
        <v>445</v>
      </c>
      <c r="B31" s="233" t="str">
        <f t="shared" si="0"/>
        <v>Heeramani Choudhary</v>
      </c>
      <c r="C31" s="236">
        <f>VLOOKUP(A31,E_DATA,2,0)</f>
        <v>0.31069444444444444</v>
      </c>
      <c r="D31" s="236">
        <v>0.1912962962962963</v>
      </c>
      <c r="E31" s="236">
        <v>5.5787037037037038E-2</v>
      </c>
      <c r="F31" s="237">
        <f>VLOOKUP(A31,E_DATA,4,0)</f>
        <v>68</v>
      </c>
      <c r="G31" s="232">
        <f>VLOOKUP(A31,E_DATA,6,0)</f>
        <v>0.52949999999999997</v>
      </c>
    </row>
    <row r="32" spans="1:7">
      <c r="A32" s="224" t="s">
        <v>446</v>
      </c>
      <c r="B32" s="233" t="str">
        <f t="shared" si="0"/>
        <v>Indra Pal</v>
      </c>
      <c r="C32" s="236">
        <f>VLOOKUP(A32,E_DATA,2,0)</f>
        <v>0.33329861111111109</v>
      </c>
      <c r="D32" s="236">
        <v>0.21824074074074074</v>
      </c>
      <c r="E32" s="236">
        <v>4.809027777777778E-2</v>
      </c>
      <c r="F32" s="237">
        <f>VLOOKUP(A32,E_DATA,4,0)</f>
        <v>67</v>
      </c>
      <c r="G32" s="232">
        <f>VLOOKUP(A32,E_DATA,6,0)</f>
        <v>0.5645</v>
      </c>
    </row>
    <row r="33" spans="1:7">
      <c r="A33" s="224" t="s">
        <v>447</v>
      </c>
      <c r="B33" s="233" t="str">
        <f t="shared" si="0"/>
        <v>Indra Singh</v>
      </c>
      <c r="C33" s="236">
        <f>VLOOKUP(A33,E_DATA,2,0)</f>
        <v>0.34564814814814815</v>
      </c>
      <c r="D33" s="236">
        <v>0.21184027777777778</v>
      </c>
      <c r="E33" s="236">
        <v>8.9745370370370364E-2</v>
      </c>
      <c r="F33" s="237">
        <f>VLOOKUP(A33,E_DATA,4,0)</f>
        <v>66</v>
      </c>
      <c r="G33" s="232">
        <f>VLOOKUP(A33,E_DATA,6,0)</f>
        <v>0.49790000000000001</v>
      </c>
    </row>
    <row r="34" spans="1:7">
      <c r="A34" s="224" t="s">
        <v>448</v>
      </c>
      <c r="B34" s="233" t="str">
        <f t="shared" si="0"/>
        <v>Jagdish Chandra</v>
      </c>
      <c r="C34" s="236">
        <f>VLOOKUP(A34,E_DATA,2,0)</f>
        <v>0.34664351851851855</v>
      </c>
      <c r="D34" s="236">
        <v>0.20781250000000001</v>
      </c>
      <c r="E34" s="236">
        <v>4.7951388888888891E-2</v>
      </c>
      <c r="F34" s="237">
        <f>VLOOKUP(A34,E_DATA,4,0)</f>
        <v>65</v>
      </c>
      <c r="G34" s="232">
        <f>VLOOKUP(A34,E_DATA,6,0)</f>
        <v>0.56269999999999998</v>
      </c>
    </row>
    <row r="35" spans="1:7">
      <c r="A35" s="224" t="s">
        <v>449</v>
      </c>
      <c r="B35" s="233" t="str">
        <f t="shared" si="0"/>
        <v>Jairaj Vatham</v>
      </c>
      <c r="C35" s="236">
        <f>VLOOKUP(A35,E_DATA,2,0)</f>
        <v>0.34471064814814817</v>
      </c>
      <c r="D35" s="236">
        <v>0.20981481481481482</v>
      </c>
      <c r="E35" s="236">
        <v>4.8564814814814818E-2</v>
      </c>
      <c r="F35" s="237">
        <f>VLOOKUP(A35,E_DATA,4,0)</f>
        <v>64</v>
      </c>
      <c r="G35" s="232">
        <f>VLOOKUP(A35,E_DATA,6,0)</f>
        <v>0.57679999999999998</v>
      </c>
    </row>
    <row r="36" spans="1:7">
      <c r="A36" s="224" t="s">
        <v>450</v>
      </c>
      <c r="B36" s="233" t="str">
        <f t="shared" si="0"/>
        <v>Janardan Mishra</v>
      </c>
      <c r="C36" s="236">
        <f>VLOOKUP(A36,E_DATA,2,0)</f>
        <v>0.31923611111111111</v>
      </c>
      <c r="D36" s="236">
        <v>0.18953703703703703</v>
      </c>
      <c r="E36" s="236">
        <v>6.1215277777777778E-2</v>
      </c>
      <c r="F36" s="237">
        <f>VLOOKUP(A36,E_DATA,4,0)</f>
        <v>63</v>
      </c>
      <c r="G36" s="232">
        <f>VLOOKUP(A36,E_DATA,6,0)</f>
        <v>0.55730000000000002</v>
      </c>
    </row>
    <row r="37" spans="1:7">
      <c r="A37" s="224" t="s">
        <v>451</v>
      </c>
      <c r="B37" s="233" t="str">
        <f t="shared" si="0"/>
        <v>Jitendra Kumar</v>
      </c>
      <c r="C37" s="236">
        <f>VLOOKUP(A37,E_DATA,2,0)</f>
        <v>0.34128472222222223</v>
      </c>
      <c r="D37" s="236">
        <v>0.17200231481481482</v>
      </c>
      <c r="E37" s="236">
        <v>0.10777777777777778</v>
      </c>
      <c r="F37" s="237">
        <f>VLOOKUP(A37,E_DATA,4,0)</f>
        <v>62</v>
      </c>
      <c r="G37" s="232">
        <f>VLOOKUP(A37,E_DATA,6,0)</f>
        <v>0.47589999999999999</v>
      </c>
    </row>
    <row r="38" spans="1:7">
      <c r="A38" s="224" t="s">
        <v>452</v>
      </c>
      <c r="B38" s="233" t="str">
        <f t="shared" si="0"/>
        <v>John D'Costa</v>
      </c>
      <c r="C38" s="236">
        <f>VLOOKUP(A38,E_DATA,2,0)</f>
        <v>0.34012731481481484</v>
      </c>
      <c r="D38" s="236">
        <v>0.20243055555555556</v>
      </c>
      <c r="E38" s="236">
        <v>4.8333333333333332E-2</v>
      </c>
      <c r="F38" s="237">
        <f>VLOOKUP(A38,E_DATA,4,0)</f>
        <v>61</v>
      </c>
      <c r="G38" s="232">
        <f>VLOOKUP(A38,E_DATA,6,0)</f>
        <v>0.55640000000000001</v>
      </c>
    </row>
    <row r="39" spans="1:7">
      <c r="A39" s="224" t="s">
        <v>453</v>
      </c>
      <c r="B39" s="233" t="str">
        <f t="shared" si="0"/>
        <v>Julie S</v>
      </c>
      <c r="C39" s="236">
        <f>VLOOKUP(A39,E_DATA,2,0)</f>
        <v>0.3442824074074074</v>
      </c>
      <c r="D39" s="236">
        <v>0.20569444444444446</v>
      </c>
      <c r="E39" s="236">
        <v>4.912037037037037E-2</v>
      </c>
      <c r="F39" s="237">
        <f>VLOOKUP(A39,E_DATA,4,0)</f>
        <v>60</v>
      </c>
      <c r="G39" s="232">
        <f>VLOOKUP(A39,E_DATA,6,0)</f>
        <v>0.52800000000000002</v>
      </c>
    </row>
    <row r="40" spans="1:7">
      <c r="A40" s="224" t="s">
        <v>454</v>
      </c>
      <c r="B40" s="233" t="str">
        <f t="shared" si="0"/>
        <v>Jyoti Tulsani</v>
      </c>
      <c r="C40" s="236">
        <f>VLOOKUP(A40,E_DATA,2,0)</f>
        <v>0.3439699074074074</v>
      </c>
      <c r="D40" s="236">
        <v>0.20620370370370369</v>
      </c>
      <c r="E40" s="236">
        <v>4.8923611111111112E-2</v>
      </c>
      <c r="F40" s="237">
        <f>VLOOKUP(A40,E_DATA,4,0)</f>
        <v>59</v>
      </c>
      <c r="G40" s="232">
        <f>VLOOKUP(A40,E_DATA,6,0)</f>
        <v>0.56499999999999995</v>
      </c>
    </row>
    <row r="41" spans="1:7">
      <c r="A41" s="224" t="s">
        <v>455</v>
      </c>
      <c r="B41" s="233" t="str">
        <f t="shared" si="0"/>
        <v>Kahkasha Parveen</v>
      </c>
      <c r="C41" s="236">
        <f>VLOOKUP(A41,E_DATA,2,0)</f>
        <v>0.34541666666666665</v>
      </c>
      <c r="D41" s="236">
        <v>0.22590277777777779</v>
      </c>
      <c r="E41" s="236">
        <v>4.8750000000000002E-2</v>
      </c>
      <c r="F41" s="237">
        <f>VLOOKUP(A41,E_DATA,4,0)</f>
        <v>58</v>
      </c>
      <c r="G41" s="232">
        <f>VLOOKUP(A41,E_DATA,6,0)</f>
        <v>0.48580000000000001</v>
      </c>
    </row>
    <row r="42" spans="1:7">
      <c r="A42" s="224" t="s">
        <v>456</v>
      </c>
      <c r="B42" s="233" t="str">
        <f t="shared" si="0"/>
        <v>Kailash Nath</v>
      </c>
      <c r="C42" s="236">
        <f>VLOOKUP(A42,E_DATA,2,0)</f>
        <v>0.34445601851851854</v>
      </c>
      <c r="D42" s="236">
        <v>0.20725694444444445</v>
      </c>
      <c r="E42" s="236">
        <v>4.6990740740740743E-2</v>
      </c>
      <c r="F42" s="237">
        <f>VLOOKUP(A42,E_DATA,4,0)</f>
        <v>57</v>
      </c>
      <c r="G42" s="232">
        <f>VLOOKUP(A42,E_DATA,6,0)</f>
        <v>0.57230000000000003</v>
      </c>
    </row>
    <row r="43" spans="1:7">
      <c r="A43" s="224" t="s">
        <v>457</v>
      </c>
      <c r="B43" s="233" t="str">
        <f t="shared" si="0"/>
        <v>Kalpana Agrawal</v>
      </c>
      <c r="C43" s="236">
        <f>VLOOKUP(A43,E_DATA,2,0)</f>
        <v>0.3334259259259259</v>
      </c>
      <c r="D43" s="236">
        <v>0.16271990740740741</v>
      </c>
      <c r="E43" s="236">
        <v>0.10062500000000001</v>
      </c>
      <c r="F43" s="237">
        <f>VLOOKUP(A43,E_DATA,4,0)</f>
        <v>56</v>
      </c>
      <c r="G43" s="232">
        <f>VLOOKUP(A43,E_DATA,6,0)</f>
        <v>0.46539999999999998</v>
      </c>
    </row>
    <row r="44" spans="1:7">
      <c r="A44" s="224" t="s">
        <v>458</v>
      </c>
      <c r="B44" s="233" t="str">
        <f t="shared" si="0"/>
        <v>Kamini Kumar</v>
      </c>
      <c r="C44" s="236">
        <f>VLOOKUP(A44,E_DATA,2,0)</f>
        <v>0.20945601851851853</v>
      </c>
      <c r="D44" s="236">
        <v>0.13993055555555556</v>
      </c>
      <c r="E44" s="236">
        <v>1.0416666666666666E-2</v>
      </c>
      <c r="F44" s="237">
        <f>VLOOKUP(A44,E_DATA,4,0)</f>
        <v>55</v>
      </c>
      <c r="G44" s="232">
        <f>VLOOKUP(A44,E_DATA,6,0)</f>
        <v>0.64380000000000004</v>
      </c>
    </row>
    <row r="45" spans="1:7">
      <c r="A45" s="224" t="s">
        <v>459</v>
      </c>
      <c r="B45" s="233" t="str">
        <f t="shared" si="0"/>
        <v>Kamini Tiwari</v>
      </c>
      <c r="C45" s="236">
        <f>VLOOKUP(A45,E_DATA,2,0)</f>
        <v>0.35192129629629632</v>
      </c>
      <c r="D45" s="236">
        <v>0.22140046296296295</v>
      </c>
      <c r="E45" s="236">
        <v>4.8437500000000001E-2</v>
      </c>
      <c r="F45" s="237">
        <f>VLOOKUP(A45,E_DATA,4,0)</f>
        <v>54</v>
      </c>
      <c r="G45" s="232">
        <f>VLOOKUP(A45,E_DATA,6,0)</f>
        <v>0.57350000000000001</v>
      </c>
    </row>
    <row r="46" spans="1:7">
      <c r="A46" s="224" t="s">
        <v>460</v>
      </c>
      <c r="B46" s="233" t="str">
        <f t="shared" si="0"/>
        <v>Kavita Sharma</v>
      </c>
      <c r="C46" s="236">
        <f>VLOOKUP(A46,E_DATA,2,0)</f>
        <v>0.32876157407407408</v>
      </c>
      <c r="D46" s="236">
        <v>0.22660879629629629</v>
      </c>
      <c r="E46" s="236">
        <v>3.9108796296296294E-2</v>
      </c>
      <c r="F46" s="237">
        <f>VLOOKUP(A46,E_DATA,4,0)</f>
        <v>53</v>
      </c>
      <c r="G46" s="232">
        <f>VLOOKUP(A46,E_DATA,6,0)</f>
        <v>0.6472</v>
      </c>
    </row>
    <row r="47" spans="1:7">
      <c r="A47" s="224" t="s">
        <v>461</v>
      </c>
      <c r="B47" s="233" t="str">
        <f t="shared" si="0"/>
        <v>Kiran Khubchandani</v>
      </c>
      <c r="C47" s="236">
        <f>VLOOKUP(A47,E_DATA,2,0)</f>
        <v>0.33435185185185184</v>
      </c>
      <c r="D47" s="236">
        <v>0.17586805555555557</v>
      </c>
      <c r="E47" s="236">
        <v>9.0555555555555556E-2</v>
      </c>
      <c r="F47" s="237">
        <f>VLOOKUP(A47,E_DATA,4,0)</f>
        <v>52</v>
      </c>
      <c r="G47" s="232">
        <f>VLOOKUP(A47,E_DATA,6,0)</f>
        <v>0.50439999999999996</v>
      </c>
    </row>
    <row r="48" spans="1:7">
      <c r="A48" s="224" t="s">
        <v>462</v>
      </c>
      <c r="B48" s="233" t="str">
        <f t="shared" si="0"/>
        <v>Kisun Sah</v>
      </c>
      <c r="C48" s="236">
        <f>VLOOKUP(A48,E_DATA,2,0)</f>
        <v>0.34831018518518519</v>
      </c>
      <c r="D48" s="236">
        <v>0.21436342592592592</v>
      </c>
      <c r="E48" s="236">
        <v>4.8240740740740744E-2</v>
      </c>
      <c r="F48" s="237">
        <f>VLOOKUP(A48,E_DATA,4,0)</f>
        <v>51</v>
      </c>
      <c r="G48" s="232">
        <f>VLOOKUP(A48,E_DATA,6,0)</f>
        <v>0.55279999999999996</v>
      </c>
    </row>
    <row r="49" spans="1:7">
      <c r="A49" s="224" t="s">
        <v>463</v>
      </c>
      <c r="B49" s="233" t="str">
        <f t="shared" si="0"/>
        <v>Krishana Kumar</v>
      </c>
      <c r="C49" s="236">
        <f>VLOOKUP(A49,E_DATA,2,0)</f>
        <v>0.34407407407407409</v>
      </c>
      <c r="D49" s="236">
        <v>0.19798611111111111</v>
      </c>
      <c r="E49" s="236">
        <v>4.8437500000000001E-2</v>
      </c>
      <c r="F49" s="237">
        <f>VLOOKUP(A49,E_DATA,4,0)</f>
        <v>50</v>
      </c>
      <c r="G49" s="232">
        <f>VLOOKUP(A49,E_DATA,6,0)</f>
        <v>0.55489999999999995</v>
      </c>
    </row>
    <row r="50" spans="1:7">
      <c r="A50" s="224" t="s">
        <v>464</v>
      </c>
      <c r="B50" s="233" t="str">
        <f t="shared" si="0"/>
        <v>Kunj Bihari</v>
      </c>
      <c r="C50" s="236">
        <f>VLOOKUP(A50,E_DATA,2,0)</f>
        <v>0.33285879629629628</v>
      </c>
      <c r="D50" s="236">
        <v>0.19598379629629631</v>
      </c>
      <c r="E50" s="236">
        <v>4.8738425925925928E-2</v>
      </c>
      <c r="F50" s="237">
        <f>VLOOKUP(A50,E_DATA,4,0)</f>
        <v>49</v>
      </c>
      <c r="G50" s="232">
        <f>VLOOKUP(A50,E_DATA,6,0)</f>
        <v>0.55220000000000002</v>
      </c>
    </row>
    <row r="51" spans="1:7">
      <c r="A51" s="224" t="s">
        <v>465</v>
      </c>
      <c r="B51" s="233" t="str">
        <f t="shared" si="0"/>
        <v>Leena George</v>
      </c>
      <c r="C51" s="236">
        <f>VLOOKUP(A51,E_DATA,2,0)</f>
        <v>0.20570601851851852</v>
      </c>
      <c r="D51" s="236">
        <v>0.13252314814814814</v>
      </c>
      <c r="E51" s="236">
        <v>1.2615740740740742E-2</v>
      </c>
      <c r="F51" s="237">
        <f>VLOOKUP(A51,E_DATA,4,0)</f>
        <v>48</v>
      </c>
      <c r="G51" s="232">
        <f>VLOOKUP(A51,E_DATA,6,0)</f>
        <v>0.58819999999999995</v>
      </c>
    </row>
    <row r="52" spans="1:7">
      <c r="A52" s="224" t="s">
        <v>466</v>
      </c>
      <c r="B52" s="233" t="str">
        <f t="shared" si="0"/>
        <v>Lilly Lucy</v>
      </c>
      <c r="C52" s="236">
        <f>VLOOKUP(A52,E_DATA,2,0)</f>
        <v>0.32318287037037036</v>
      </c>
      <c r="D52" s="236">
        <v>0.19381944444444443</v>
      </c>
      <c r="E52" s="236">
        <v>5.1898148148148152E-2</v>
      </c>
      <c r="F52" s="237">
        <f>VLOOKUP(A52,E_DATA,4,0)</f>
        <v>47</v>
      </c>
      <c r="G52" s="232">
        <f>VLOOKUP(A52,E_DATA,6,0)</f>
        <v>0.55530000000000002</v>
      </c>
    </row>
    <row r="53" spans="1:7">
      <c r="A53" s="224" t="s">
        <v>467</v>
      </c>
      <c r="B53" s="233" t="str">
        <f t="shared" si="0"/>
        <v>Mangal Singh</v>
      </c>
      <c r="C53" s="236">
        <f>VLOOKUP(A53,E_DATA,2,0)</f>
        <v>0.33348379629629632</v>
      </c>
      <c r="D53" s="236">
        <v>0.19890046296296296</v>
      </c>
      <c r="E53" s="236">
        <v>4.8657407407407406E-2</v>
      </c>
      <c r="F53" s="237">
        <f>VLOOKUP(A53,E_DATA,4,0)</f>
        <v>46</v>
      </c>
      <c r="G53" s="232">
        <f>VLOOKUP(A53,E_DATA,6,0)</f>
        <v>0.55820000000000003</v>
      </c>
    </row>
    <row r="54" spans="1:7">
      <c r="A54" s="224" t="s">
        <v>468</v>
      </c>
      <c r="B54" s="233" t="str">
        <f t="shared" si="0"/>
        <v>Manisha Shrivastava</v>
      </c>
      <c r="C54" s="236">
        <f>VLOOKUP(A54,E_DATA,2,0)</f>
        <v>0.34015046296296297</v>
      </c>
      <c r="D54" s="236">
        <v>0.20222222222222222</v>
      </c>
      <c r="E54" s="236">
        <v>4.8715277777777781E-2</v>
      </c>
      <c r="F54" s="237">
        <f>VLOOKUP(A54,E_DATA,4,0)</f>
        <v>45</v>
      </c>
      <c r="G54" s="232">
        <f>VLOOKUP(A54,E_DATA,6,0)</f>
        <v>0.53</v>
      </c>
    </row>
    <row r="55" spans="1:7">
      <c r="A55" s="224" t="s">
        <v>469</v>
      </c>
      <c r="B55" s="233" t="str">
        <f t="shared" si="0"/>
        <v>Manjusha Sinha</v>
      </c>
      <c r="C55" s="236">
        <f>VLOOKUP(A55,E_DATA,2,0)</f>
        <v>0.34311342592592592</v>
      </c>
      <c r="D55" s="236">
        <v>0.21112268518518518</v>
      </c>
      <c r="E55" s="236">
        <v>4.9062500000000002E-2</v>
      </c>
      <c r="F55" s="237">
        <f>VLOOKUP(A55,E_DATA,4,0)</f>
        <v>44</v>
      </c>
      <c r="G55" s="232">
        <f>VLOOKUP(A55,E_DATA,6,0)</f>
        <v>0.5464</v>
      </c>
    </row>
    <row r="56" spans="1:7">
      <c r="A56" s="224" t="s">
        <v>470</v>
      </c>
      <c r="B56" s="233" t="str">
        <f t="shared" si="0"/>
        <v>ManjuTiwari Lab</v>
      </c>
      <c r="C56" s="236">
        <f>VLOOKUP(A56,E_DATA,2,0)</f>
        <v>0.32046296296296295</v>
      </c>
      <c r="D56" s="236">
        <v>0.18484953703703705</v>
      </c>
      <c r="E56" s="236">
        <v>4.9143518518518517E-2</v>
      </c>
      <c r="F56" s="237">
        <f>VLOOKUP(A56,E_DATA,4,0)</f>
        <v>43</v>
      </c>
      <c r="G56" s="232">
        <f>VLOOKUP(A56,E_DATA,6,0)</f>
        <v>0.52849999999999997</v>
      </c>
    </row>
    <row r="57" spans="1:7">
      <c r="A57" s="224" t="s">
        <v>471</v>
      </c>
      <c r="B57" s="233" t="str">
        <f t="shared" si="0"/>
        <v>Manoj Kumar</v>
      </c>
      <c r="C57" s="236">
        <f>VLOOKUP(A57,E_DATA,2,0)</f>
        <v>0.33384259259259258</v>
      </c>
      <c r="D57" s="236">
        <v>0.1867824074074074</v>
      </c>
      <c r="E57" s="236">
        <v>4.853009259259259E-2</v>
      </c>
      <c r="F57" s="237">
        <f>VLOOKUP(A57,E_DATA,4,0)</f>
        <v>42</v>
      </c>
      <c r="G57" s="232">
        <f>VLOOKUP(A57,E_DATA,6,0)</f>
        <v>0.53280000000000005</v>
      </c>
    </row>
    <row r="58" spans="1:7">
      <c r="A58" s="224" t="s">
        <v>472</v>
      </c>
      <c r="B58" s="233" t="str">
        <f t="shared" si="0"/>
        <v>Manoj Kumar</v>
      </c>
      <c r="C58" s="236">
        <f>VLOOKUP(A58,E_DATA,2,0)</f>
        <v>0.33012731481481483</v>
      </c>
      <c r="D58" s="236">
        <v>0.18739583333333334</v>
      </c>
      <c r="E58" s="236">
        <v>5.2766203703703704E-2</v>
      </c>
      <c r="F58" s="237">
        <f>VLOOKUP(A58,E_DATA,4,0)</f>
        <v>41</v>
      </c>
      <c r="G58" s="232">
        <f>VLOOKUP(A58,E_DATA,6,0)</f>
        <v>0.53149999999999997</v>
      </c>
    </row>
    <row r="59" spans="1:7">
      <c r="A59" s="224" t="s">
        <v>473</v>
      </c>
      <c r="B59" s="233" t="str">
        <f t="shared" si="0"/>
        <v>Masroor Adil</v>
      </c>
      <c r="C59" s="236">
        <f>VLOOKUP(A59,E_DATA,2,0)</f>
        <v>0.34032407407407406</v>
      </c>
      <c r="D59" s="236">
        <v>0.21151620370370369</v>
      </c>
      <c r="E59" s="236">
        <v>4.9756944444444444E-2</v>
      </c>
      <c r="F59" s="237">
        <f>VLOOKUP(A59,E_DATA,4,0)</f>
        <v>40</v>
      </c>
      <c r="G59" s="232">
        <f>VLOOKUP(A59,E_DATA,6,0)</f>
        <v>0.58950000000000002</v>
      </c>
    </row>
    <row r="60" spans="1:7">
      <c r="A60" s="224" t="s">
        <v>474</v>
      </c>
      <c r="B60" s="233" t="str">
        <f t="shared" si="0"/>
        <v>Meena Zinjare</v>
      </c>
      <c r="C60" s="236">
        <f>VLOOKUP(A60,E_DATA,2,0)</f>
        <v>0.33714120370370371</v>
      </c>
      <c r="D60" s="236">
        <v>0.13162037037037036</v>
      </c>
      <c r="E60" s="236">
        <v>0.14913194444444444</v>
      </c>
      <c r="F60" s="237">
        <f>VLOOKUP(A60,E_DATA,4,0)</f>
        <v>39</v>
      </c>
      <c r="G60" s="232">
        <f>VLOOKUP(A60,E_DATA,6,0)</f>
        <v>0.34899999999999998</v>
      </c>
    </row>
    <row r="61" spans="1:7">
      <c r="A61" s="224" t="s">
        <v>475</v>
      </c>
      <c r="B61" s="233" t="str">
        <f t="shared" si="0"/>
        <v>Mehnaz Khan</v>
      </c>
      <c r="C61" s="236">
        <f>VLOOKUP(A61,E_DATA,2,0)</f>
        <v>0.34364583333333332</v>
      </c>
      <c r="D61" s="236">
        <v>0.17246527777777779</v>
      </c>
      <c r="E61" s="236">
        <v>9.194444444444444E-2</v>
      </c>
      <c r="F61" s="237">
        <f>VLOOKUP(A61,E_DATA,4,0)</f>
        <v>38</v>
      </c>
      <c r="G61" s="232">
        <f>VLOOKUP(A61,E_DATA,6,0)</f>
        <v>0.4793</v>
      </c>
    </row>
    <row r="62" spans="1:7">
      <c r="A62" s="224" t="s">
        <v>476</v>
      </c>
      <c r="B62" s="233" t="str">
        <f t="shared" si="0"/>
        <v>Mercy Thampi</v>
      </c>
      <c r="C62" s="236">
        <f>VLOOKUP(A62,E_DATA,2,0)</f>
        <v>0.21915509259259258</v>
      </c>
      <c r="D62" s="236">
        <v>0.15189814814814814</v>
      </c>
      <c r="E62" s="236">
        <v>1.0821759259259258E-2</v>
      </c>
      <c r="F62" s="237">
        <f>VLOOKUP(A62,E_DATA,4,0)</f>
        <v>37</v>
      </c>
      <c r="G62" s="232">
        <f>VLOOKUP(A62,E_DATA,6,0)</f>
        <v>0.62760000000000005</v>
      </c>
    </row>
    <row r="63" spans="1:7">
      <c r="A63" s="224" t="s">
        <v>477</v>
      </c>
      <c r="B63" s="233" t="str">
        <f t="shared" si="0"/>
        <v>Miny Mole</v>
      </c>
      <c r="C63" s="236">
        <f>VLOOKUP(A63,E_DATA,2,0)</f>
        <v>0.3417824074074074</v>
      </c>
      <c r="D63" s="236">
        <v>0.17645833333333333</v>
      </c>
      <c r="E63" s="236">
        <v>9.2442129629629624E-2</v>
      </c>
      <c r="F63" s="237">
        <f>VLOOKUP(A63,E_DATA,4,0)</f>
        <v>36</v>
      </c>
      <c r="G63" s="232">
        <f>VLOOKUP(A63,E_DATA,6,0)</f>
        <v>0.47560000000000002</v>
      </c>
    </row>
    <row r="64" spans="1:7">
      <c r="A64" s="224" t="s">
        <v>478</v>
      </c>
      <c r="B64" s="233" t="str">
        <f t="shared" si="0"/>
        <v>Mohd Rafi</v>
      </c>
      <c r="C64" s="236">
        <f>VLOOKUP(A64,E_DATA,2,0)</f>
        <v>0.33370370370370372</v>
      </c>
      <c r="D64" s="236">
        <v>0.16336805555555556</v>
      </c>
      <c r="E64" s="236">
        <v>0.11005787037037038</v>
      </c>
      <c r="F64" s="237">
        <f>VLOOKUP(A64,E_DATA,4,0)</f>
        <v>35</v>
      </c>
      <c r="G64" s="232">
        <f>VLOOKUP(A64,E_DATA,6,0)</f>
        <v>0.43640000000000001</v>
      </c>
    </row>
    <row r="65" spans="1:7">
      <c r="A65" s="224" t="s">
        <v>479</v>
      </c>
      <c r="B65" s="233" t="str">
        <f t="shared" si="0"/>
        <v>Mubeen Khan</v>
      </c>
      <c r="C65" s="236">
        <f>VLOOKUP(A65,E_DATA,2,0)</f>
        <v>0.33026620370370369</v>
      </c>
      <c r="D65" s="236">
        <v>0.16021990740740741</v>
      </c>
      <c r="E65" s="236">
        <v>0.10043981481481482</v>
      </c>
      <c r="F65" s="237">
        <f>VLOOKUP(A65,E_DATA,4,0)</f>
        <v>34</v>
      </c>
      <c r="G65" s="232">
        <f>VLOOKUP(A65,E_DATA,6,0)</f>
        <v>0.45129999999999998</v>
      </c>
    </row>
    <row r="66" spans="1:7">
      <c r="A66" s="224" t="s">
        <v>480</v>
      </c>
      <c r="B66" s="233" t="str">
        <f t="shared" si="0"/>
        <v>Mukesh Nagar</v>
      </c>
      <c r="C66" s="236">
        <f>VLOOKUP(A66,E_DATA,2,0)</f>
        <v>0.20910879629629631</v>
      </c>
      <c r="D66" s="236">
        <v>0.13449074074074074</v>
      </c>
      <c r="E66" s="236">
        <v>2.0532407407407409E-2</v>
      </c>
      <c r="F66" s="237">
        <f>VLOOKUP(A66,E_DATA,4,0)</f>
        <v>33</v>
      </c>
      <c r="G66" s="232">
        <f>VLOOKUP(A66,E_DATA,6,0)</f>
        <v>0.61240000000000006</v>
      </c>
    </row>
    <row r="67" spans="1:7">
      <c r="A67" s="224" t="s">
        <v>481</v>
      </c>
      <c r="B67" s="233" t="str">
        <f t="shared" ref="B67:B130" si="1">MID(A67,FIND("_",A67,1)+1,FIND("(",A67,1)-FIND("_",A67,1)-2)</f>
        <v>Nandu Kumar</v>
      </c>
      <c r="C67" s="236">
        <f>VLOOKUP(A67,E_DATA,2,0)</f>
        <v>0.34836805555555556</v>
      </c>
      <c r="D67" s="236">
        <v>0.19697916666666668</v>
      </c>
      <c r="E67" s="236">
        <v>5.1423611111111114E-2</v>
      </c>
      <c r="F67" s="237">
        <f>VLOOKUP(A67,E_DATA,4,0)</f>
        <v>32</v>
      </c>
      <c r="G67" s="232">
        <f>VLOOKUP(A67,E_DATA,6,0)</f>
        <v>0.51759999999999995</v>
      </c>
    </row>
    <row r="68" spans="1:7">
      <c r="A68" s="224" t="s">
        <v>482</v>
      </c>
      <c r="B68" s="233" t="str">
        <f t="shared" si="1"/>
        <v>Narayan Singh</v>
      </c>
      <c r="C68" s="236">
        <f>VLOOKUP(A68,E_DATA,2,0)</f>
        <v>0.34686342592592595</v>
      </c>
      <c r="D68" s="236">
        <v>0.20438657407407407</v>
      </c>
      <c r="E68" s="236">
        <v>4.7534722222222221E-2</v>
      </c>
      <c r="F68" s="237">
        <f>VLOOKUP(A68,E_DATA,4,0)</f>
        <v>31</v>
      </c>
      <c r="G68" s="232">
        <f>VLOOKUP(A68,E_DATA,6,0)</f>
        <v>0.55549999999999999</v>
      </c>
    </row>
    <row r="69" spans="1:7">
      <c r="A69" s="224" t="s">
        <v>483</v>
      </c>
      <c r="B69" s="233" t="str">
        <f t="shared" si="1"/>
        <v>Neeraj Saxena</v>
      </c>
      <c r="C69" s="236">
        <f>VLOOKUP(A69,E_DATA,2,0)</f>
        <v>0.34806712962962966</v>
      </c>
      <c r="D69" s="236">
        <v>0.19177083333333333</v>
      </c>
      <c r="E69" s="236">
        <v>9.3958333333333338E-2</v>
      </c>
      <c r="F69" s="237">
        <f>VLOOKUP(A69,E_DATA,4,0)</f>
        <v>30</v>
      </c>
      <c r="G69" s="232">
        <f>VLOOKUP(A69,E_DATA,6,0)</f>
        <v>0.45540000000000003</v>
      </c>
    </row>
    <row r="70" spans="1:7">
      <c r="A70" s="224" t="s">
        <v>484</v>
      </c>
      <c r="B70" s="233" t="str">
        <f t="shared" si="1"/>
        <v>Neeru Mehta</v>
      </c>
      <c r="C70" s="236">
        <f>VLOOKUP(A70,E_DATA,2,0)</f>
        <v>0.3349537037037037</v>
      </c>
      <c r="D70" s="236">
        <v>0.19739583333333333</v>
      </c>
      <c r="E70" s="236">
        <v>4.8645833333333333E-2</v>
      </c>
      <c r="F70" s="237">
        <f>VLOOKUP(A70,E_DATA,4,0)</f>
        <v>29</v>
      </c>
      <c r="G70" s="232">
        <f>VLOOKUP(A70,E_DATA,6,0)</f>
        <v>0.53449999999999998</v>
      </c>
    </row>
    <row r="71" spans="1:7">
      <c r="A71" s="224" t="s">
        <v>485</v>
      </c>
      <c r="B71" s="233" t="str">
        <f t="shared" si="1"/>
        <v>Nikita Panwalkar</v>
      </c>
      <c r="C71" s="236">
        <f>VLOOKUP(A71,E_DATA,2,0)</f>
        <v>0.34497685185185184</v>
      </c>
      <c r="D71" s="236">
        <v>0.20746527777777779</v>
      </c>
      <c r="E71" s="236">
        <v>6.7650462962962968E-2</v>
      </c>
      <c r="F71" s="237">
        <f>VLOOKUP(A71,E_DATA,4,0)</f>
        <v>28</v>
      </c>
      <c r="G71" s="232">
        <f>VLOOKUP(A71,E_DATA,6,0)</f>
        <v>0.55910000000000004</v>
      </c>
    </row>
    <row r="72" spans="1:7">
      <c r="A72" s="224" t="s">
        <v>486</v>
      </c>
      <c r="B72" s="233" t="str">
        <f t="shared" si="1"/>
        <v>Nitin Bhatia</v>
      </c>
      <c r="C72" s="236">
        <f>VLOOKUP(A72,E_DATA,2,0)</f>
        <v>0.33376157407407409</v>
      </c>
      <c r="D72" s="236">
        <v>0.19787037037037036</v>
      </c>
      <c r="E72" s="236">
        <v>4.853009259259259E-2</v>
      </c>
      <c r="F72" s="237">
        <f>VLOOKUP(A72,E_DATA,4,0)</f>
        <v>29</v>
      </c>
      <c r="G72" s="232">
        <f>VLOOKUP(A72,E_DATA,6,0)</f>
        <v>0.56850000000000001</v>
      </c>
    </row>
    <row r="73" spans="1:7">
      <c r="A73" s="224" t="s">
        <v>487</v>
      </c>
      <c r="B73" s="233" t="str">
        <f t="shared" si="1"/>
        <v>Om Prakash</v>
      </c>
      <c r="C73" s="236">
        <f>VLOOKUP(A73,E_DATA,2,0)</f>
        <v>0.33037037037037037</v>
      </c>
      <c r="D73" s="236">
        <v>0.18496527777777777</v>
      </c>
      <c r="E73" s="236">
        <v>6.6701388888888893E-2</v>
      </c>
      <c r="F73" s="237">
        <f>VLOOKUP(A73,E_DATA,4,0)</f>
        <v>30</v>
      </c>
      <c r="G73" s="232">
        <f>VLOOKUP(A73,E_DATA,6,0)</f>
        <v>0.47510000000000002</v>
      </c>
    </row>
    <row r="74" spans="1:7">
      <c r="A74" s="224" t="s">
        <v>488</v>
      </c>
      <c r="B74" s="233" t="str">
        <f t="shared" si="1"/>
        <v>Omprakash O</v>
      </c>
      <c r="C74" s="236">
        <f>VLOOKUP(A74,E_DATA,2,0)</f>
        <v>0.34008101851851852</v>
      </c>
      <c r="D74" s="236">
        <v>0.16811342592592593</v>
      </c>
      <c r="E74" s="236">
        <v>9.1597222222222219E-2</v>
      </c>
      <c r="F74" s="237">
        <f>VLOOKUP(A74,E_DATA,4,0)</f>
        <v>31</v>
      </c>
      <c r="G74" s="232">
        <f>VLOOKUP(A74,E_DATA,6,0)</f>
        <v>0.4758</v>
      </c>
    </row>
    <row r="75" spans="1:7">
      <c r="A75" s="224" t="s">
        <v>489</v>
      </c>
      <c r="B75" s="233" t="str">
        <f t="shared" si="1"/>
        <v>Owais Mohd</v>
      </c>
      <c r="C75" s="236">
        <f>VLOOKUP(A75,E_DATA,2,0)</f>
        <v>0.33415509259259257</v>
      </c>
      <c r="D75" s="236">
        <v>0.16863425925925926</v>
      </c>
      <c r="E75" s="236">
        <v>0.10168981481481482</v>
      </c>
      <c r="F75" s="237">
        <f>VLOOKUP(A75,E_DATA,4,0)</f>
        <v>32</v>
      </c>
      <c r="G75" s="232">
        <f>VLOOKUP(A75,E_DATA,6,0)</f>
        <v>0.46899999999999997</v>
      </c>
    </row>
    <row r="76" spans="1:7">
      <c r="A76" s="224" t="s">
        <v>490</v>
      </c>
      <c r="B76" s="233" t="str">
        <f t="shared" si="1"/>
        <v>Pankaj Shelkey</v>
      </c>
      <c r="C76" s="236">
        <f>VLOOKUP(A76,E_DATA,2,0)</f>
        <v>0.34437499999999999</v>
      </c>
      <c r="D76" s="236">
        <v>0.18534722222222222</v>
      </c>
      <c r="E76" s="236">
        <v>8.0162037037037032E-2</v>
      </c>
      <c r="F76" s="237">
        <f>VLOOKUP(A76,E_DATA,4,0)</f>
        <v>33</v>
      </c>
      <c r="G76" s="232">
        <f>VLOOKUP(A76,E_DATA,6,0)</f>
        <v>0.51359999999999995</v>
      </c>
    </row>
    <row r="77" spans="1:7">
      <c r="A77" s="224" t="s">
        <v>491</v>
      </c>
      <c r="B77" s="233" t="str">
        <f t="shared" si="1"/>
        <v>Partha Sarathi</v>
      </c>
      <c r="C77" s="236">
        <f>VLOOKUP(A77,E_DATA,2,0)</f>
        <v>0.3558101851851852</v>
      </c>
      <c r="D77" s="236">
        <v>0.21642361111111111</v>
      </c>
      <c r="E77" s="236">
        <v>6.8541666666666667E-2</v>
      </c>
      <c r="F77" s="237">
        <f>VLOOKUP(A77,E_DATA,4,0)</f>
        <v>34</v>
      </c>
      <c r="G77" s="232">
        <f>VLOOKUP(A77,E_DATA,6,0)</f>
        <v>0.52510000000000001</v>
      </c>
    </row>
    <row r="78" spans="1:7">
      <c r="A78" s="224" t="s">
        <v>492</v>
      </c>
      <c r="B78" s="233" t="str">
        <f t="shared" si="1"/>
        <v>Prabha Desikan</v>
      </c>
      <c r="C78" s="236">
        <f>VLOOKUP(A78,E_DATA,2,0)</f>
        <v>0.34848379629629628</v>
      </c>
      <c r="D78" s="236">
        <v>0.12767361111111111</v>
      </c>
      <c r="E78" s="236">
        <v>0.17460648148148147</v>
      </c>
      <c r="F78" s="237">
        <f>VLOOKUP(A78,E_DATA,4,0)</f>
        <v>35</v>
      </c>
      <c r="G78" s="232">
        <f>VLOOKUP(A78,E_DATA,6,0)</f>
        <v>0.34860000000000002</v>
      </c>
    </row>
    <row r="79" spans="1:7">
      <c r="A79" s="224" t="s">
        <v>493</v>
      </c>
      <c r="B79" s="233" t="str">
        <f t="shared" si="1"/>
        <v>Pramod Tiwari</v>
      </c>
      <c r="C79" s="236">
        <f>VLOOKUP(A79,E_DATA,2,0)</f>
        <v>0.35092592592592592</v>
      </c>
      <c r="D79" s="236">
        <v>0.12086805555555556</v>
      </c>
      <c r="E79" s="236">
        <v>0.18131944444444445</v>
      </c>
      <c r="F79" s="237">
        <f>VLOOKUP(A79,E_DATA,4,0)</f>
        <v>36</v>
      </c>
      <c r="G79" s="232">
        <f>VLOOKUP(A79,E_DATA,6,0)</f>
        <v>0.31469999999999998</v>
      </c>
    </row>
    <row r="80" spans="1:7">
      <c r="A80" s="224" t="s">
        <v>494</v>
      </c>
      <c r="B80" s="233" t="str">
        <f t="shared" si="1"/>
        <v>Prasannakumari S</v>
      </c>
      <c r="C80" s="236">
        <f>VLOOKUP(A80,E_DATA,2,0)</f>
        <v>0.33891203703703704</v>
      </c>
      <c r="D80" s="236">
        <v>0.21581018518518519</v>
      </c>
      <c r="E80" s="236">
        <v>4.8900462962962965E-2</v>
      </c>
      <c r="F80" s="237">
        <f>VLOOKUP(A80,E_DATA,4,0)</f>
        <v>37</v>
      </c>
      <c r="G80" s="232">
        <f>VLOOKUP(A80,E_DATA,6,0)</f>
        <v>0.55600000000000005</v>
      </c>
    </row>
    <row r="81" spans="1:7">
      <c r="A81" s="224" t="s">
        <v>495</v>
      </c>
      <c r="B81" s="233" t="str">
        <f t="shared" si="1"/>
        <v>Praveen Kumar</v>
      </c>
      <c r="C81" s="236">
        <f>VLOOKUP(A81,E_DATA,2,0)</f>
        <v>0.34675925925925927</v>
      </c>
      <c r="D81" s="236">
        <v>0.17275462962962962</v>
      </c>
      <c r="E81" s="236">
        <v>0.10935185185185185</v>
      </c>
      <c r="F81" s="237">
        <f>VLOOKUP(A81,E_DATA,4,0)</f>
        <v>38</v>
      </c>
      <c r="G81" s="232">
        <f>VLOOKUP(A81,E_DATA,6,0)</f>
        <v>0.4622</v>
      </c>
    </row>
    <row r="82" spans="1:7">
      <c r="A82" s="224" t="s">
        <v>496</v>
      </c>
      <c r="B82" s="233" t="str">
        <f t="shared" si="1"/>
        <v>Rachel Mathew</v>
      </c>
      <c r="C82" s="236">
        <f>VLOOKUP(A82,E_DATA,2,0)</f>
        <v>0.3511111111111111</v>
      </c>
      <c r="D82" s="236">
        <v>0.15339120370370371</v>
      </c>
      <c r="E82" s="236">
        <v>0.13890046296296296</v>
      </c>
      <c r="F82" s="237">
        <f>VLOOKUP(A82,E_DATA,4,0)</f>
        <v>39</v>
      </c>
      <c r="G82" s="232">
        <f>VLOOKUP(A82,E_DATA,6,0)</f>
        <v>0.39079999999999998</v>
      </c>
    </row>
    <row r="83" spans="1:7">
      <c r="A83" s="224" t="s">
        <v>497</v>
      </c>
      <c r="B83" s="233" t="str">
        <f t="shared" si="1"/>
        <v>Rachita Anupam</v>
      </c>
      <c r="C83" s="236">
        <f>VLOOKUP(A83,E_DATA,2,0)</f>
        <v>0.3447453703703704</v>
      </c>
      <c r="D83" s="236">
        <v>0.21947916666666667</v>
      </c>
      <c r="E83" s="236">
        <v>4.7592592592592596E-2</v>
      </c>
      <c r="F83" s="237">
        <f>VLOOKUP(A83,E_DATA,4,0)</f>
        <v>40</v>
      </c>
      <c r="G83" s="232">
        <f>VLOOKUP(A83,E_DATA,6,0)</f>
        <v>0.54710000000000003</v>
      </c>
    </row>
    <row r="84" spans="1:7">
      <c r="A84" s="224" t="s">
        <v>498</v>
      </c>
      <c r="B84" s="233" t="str">
        <f t="shared" si="1"/>
        <v>Rachna Chauhan</v>
      </c>
      <c r="C84" s="236">
        <f>VLOOKUP(A84,E_DATA,2,0)</f>
        <v>0.3167476851851852</v>
      </c>
      <c r="D84" s="236">
        <v>0.21346064814814814</v>
      </c>
      <c r="E84" s="236">
        <v>2.1064814814814814E-2</v>
      </c>
      <c r="F84" s="237">
        <f>VLOOKUP(A84,E_DATA,4,0)</f>
        <v>41</v>
      </c>
      <c r="G84" s="232">
        <f>VLOOKUP(A84,E_DATA,6,0)</f>
        <v>0.61460000000000004</v>
      </c>
    </row>
    <row r="85" spans="1:7">
      <c r="A85" s="224" t="s">
        <v>499</v>
      </c>
      <c r="B85" s="233" t="str">
        <f t="shared" si="1"/>
        <v>Raj Kumar</v>
      </c>
      <c r="C85" s="236">
        <f>VLOOKUP(A85,E_DATA,2,0)</f>
        <v>0.34024305555555556</v>
      </c>
      <c r="D85" s="236">
        <v>0.21100694444444446</v>
      </c>
      <c r="E85" s="236">
        <v>4.7731481481481479E-2</v>
      </c>
      <c r="F85" s="237">
        <f>VLOOKUP(A85,E_DATA,4,0)</f>
        <v>42</v>
      </c>
      <c r="G85" s="232">
        <f>VLOOKUP(A85,E_DATA,6,0)</f>
        <v>0.5534</v>
      </c>
    </row>
    <row r="86" spans="1:7">
      <c r="A86" s="224" t="s">
        <v>500</v>
      </c>
      <c r="B86" s="233" t="str">
        <f t="shared" si="1"/>
        <v>Rajeev Garg</v>
      </c>
      <c r="C86" s="236">
        <f>VLOOKUP(A86,E_DATA,2,0)</f>
        <v>0.33611111111111114</v>
      </c>
      <c r="D86" s="236">
        <v>0.21214120370370371</v>
      </c>
      <c r="E86" s="236">
        <v>4.7500000000000001E-2</v>
      </c>
      <c r="F86" s="237">
        <f>VLOOKUP(A86,E_DATA,4,0)</f>
        <v>43</v>
      </c>
      <c r="G86" s="232">
        <f>VLOOKUP(A86,E_DATA,6,0)</f>
        <v>0.61140000000000005</v>
      </c>
    </row>
    <row r="87" spans="1:7">
      <c r="A87" s="224" t="s">
        <v>501</v>
      </c>
      <c r="B87" s="233" t="str">
        <f t="shared" si="1"/>
        <v>Rajeev Kumar</v>
      </c>
      <c r="C87" s="236">
        <f>VLOOKUP(A87,E_DATA,2,0)</f>
        <v>0.3331365740740741</v>
      </c>
      <c r="D87" s="236">
        <v>0.18670138888888888</v>
      </c>
      <c r="E87" s="236">
        <v>6.7430555555555549E-2</v>
      </c>
      <c r="F87" s="237">
        <f>VLOOKUP(A87,E_DATA,4,0)</f>
        <v>44</v>
      </c>
      <c r="G87" s="232">
        <f>VLOOKUP(A87,E_DATA,6,0)</f>
        <v>0.51219999999999999</v>
      </c>
    </row>
    <row r="88" spans="1:7">
      <c r="A88" s="224" t="s">
        <v>502</v>
      </c>
      <c r="B88" s="233" t="str">
        <f t="shared" si="1"/>
        <v>Rajendra Gupta</v>
      </c>
      <c r="C88" s="236">
        <f>VLOOKUP(A88,E_DATA,2,0)</f>
        <v>0.35135416666666669</v>
      </c>
      <c r="D88" s="236">
        <v>0.20708333333333334</v>
      </c>
      <c r="E88" s="236">
        <v>5.4953703703703706E-2</v>
      </c>
      <c r="F88" s="237">
        <f>VLOOKUP(A88,E_DATA,4,0)</f>
        <v>45</v>
      </c>
      <c r="G88" s="232">
        <f>VLOOKUP(A88,E_DATA,6,0)</f>
        <v>0.56030000000000002</v>
      </c>
    </row>
    <row r="89" spans="1:7">
      <c r="A89" s="224" t="s">
        <v>503</v>
      </c>
      <c r="B89" s="233" t="str">
        <f t="shared" si="1"/>
        <v>Rajendra Kumar</v>
      </c>
      <c r="C89" s="236">
        <f>VLOOKUP(A89,E_DATA,2,0)</f>
        <v>0.34356481481481482</v>
      </c>
      <c r="D89" s="236">
        <v>0.16344907407407408</v>
      </c>
      <c r="E89" s="236">
        <v>0.10712962962962963</v>
      </c>
      <c r="F89" s="237">
        <f>VLOOKUP(A89,E_DATA,4,0)</f>
        <v>46</v>
      </c>
      <c r="G89" s="232">
        <f>VLOOKUP(A89,E_DATA,6,0)</f>
        <v>0.4289</v>
      </c>
    </row>
    <row r="90" spans="1:7">
      <c r="A90" s="224" t="s">
        <v>504</v>
      </c>
      <c r="B90" s="233" t="str">
        <f t="shared" si="1"/>
        <v>Rajendra Prasad</v>
      </c>
      <c r="C90" s="236">
        <f>VLOOKUP(A90,E_DATA,2,0)</f>
        <v>0.34900462962962964</v>
      </c>
      <c r="D90" s="236">
        <v>3.3715277777777775E-2</v>
      </c>
      <c r="E90" s="236">
        <v>0.29744212962962963</v>
      </c>
      <c r="F90" s="237">
        <f>VLOOKUP(A90,E_DATA,4,0)</f>
        <v>47</v>
      </c>
      <c r="G90" s="232">
        <f>VLOOKUP(A90,E_DATA,6,0)</f>
        <v>9.4500000000000001E-2</v>
      </c>
    </row>
    <row r="91" spans="1:7">
      <c r="A91" s="224" t="s">
        <v>505</v>
      </c>
      <c r="B91" s="233" t="str">
        <f t="shared" si="1"/>
        <v>Rajesh Kumar</v>
      </c>
      <c r="C91" s="236">
        <f>VLOOKUP(A91,E_DATA,2,0)</f>
        <v>0.33378472222222222</v>
      </c>
      <c r="D91" s="236">
        <v>0.21655092592592592</v>
      </c>
      <c r="E91" s="236">
        <v>5.0046296296296297E-2</v>
      </c>
      <c r="F91" s="237">
        <f>VLOOKUP(A91,E_DATA,4,0)</f>
        <v>48</v>
      </c>
      <c r="G91" s="232">
        <f>VLOOKUP(A91,E_DATA,6,0)</f>
        <v>0.61019999999999996</v>
      </c>
    </row>
    <row r="92" spans="1:7">
      <c r="A92" s="224" t="s">
        <v>506</v>
      </c>
      <c r="B92" s="233" t="str">
        <f t="shared" si="1"/>
        <v>Rajesh Kumar</v>
      </c>
      <c r="C92" s="236">
        <f>VLOOKUP(A92,E_DATA,2,0)</f>
        <v>0.34559027777777779</v>
      </c>
      <c r="D92" s="236">
        <v>0.2011574074074074</v>
      </c>
      <c r="E92" s="236">
        <v>8.790509259259259E-2</v>
      </c>
      <c r="F92" s="237">
        <f>VLOOKUP(A92,E_DATA,4,0)</f>
        <v>49</v>
      </c>
      <c r="G92" s="232">
        <f>VLOOKUP(A92,E_DATA,6,0)</f>
        <v>0.51259999999999994</v>
      </c>
    </row>
    <row r="93" spans="1:7">
      <c r="A93" s="224" t="s">
        <v>507</v>
      </c>
      <c r="B93" s="233" t="str">
        <f t="shared" si="1"/>
        <v>Rajesh Sharma</v>
      </c>
      <c r="C93" s="236">
        <f>VLOOKUP(A93,E_DATA,2,0)</f>
        <v>0.2114699074074074</v>
      </c>
      <c r="D93" s="236">
        <v>0.14190972222222223</v>
      </c>
      <c r="E93" s="236">
        <v>1.6979166666666667E-2</v>
      </c>
      <c r="F93" s="237">
        <f>VLOOKUP(A93,E_DATA,4,0)</f>
        <v>50</v>
      </c>
      <c r="G93" s="232">
        <f>VLOOKUP(A93,E_DATA,6,0)</f>
        <v>0.62429999999999997</v>
      </c>
    </row>
    <row r="94" spans="1:7">
      <c r="A94" s="224" t="s">
        <v>508</v>
      </c>
      <c r="B94" s="233" t="str">
        <f t="shared" si="1"/>
        <v>Raji Abraham</v>
      </c>
      <c r="C94" s="236">
        <f>VLOOKUP(A94,E_DATA,2,0)</f>
        <v>0.34075231481481483</v>
      </c>
      <c r="D94" s="236">
        <v>0.19762731481481483</v>
      </c>
      <c r="E94" s="236">
        <v>4.8240740740740744E-2</v>
      </c>
      <c r="F94" s="237">
        <f>VLOOKUP(A94,E_DATA,4,0)</f>
        <v>51</v>
      </c>
      <c r="G94" s="232">
        <f>VLOOKUP(A94,E_DATA,6,0)</f>
        <v>0.54369999999999996</v>
      </c>
    </row>
    <row r="95" spans="1:7">
      <c r="A95" s="224" t="s">
        <v>509</v>
      </c>
      <c r="B95" s="233" t="str">
        <f t="shared" si="1"/>
        <v>Rajshree Dhabekar</v>
      </c>
      <c r="C95" s="236">
        <f>VLOOKUP(A95,E_DATA,2,0)</f>
        <v>0.34390046296296295</v>
      </c>
      <c r="D95" s="236">
        <v>0</v>
      </c>
      <c r="E95" s="236">
        <v>0.34385416666666668</v>
      </c>
      <c r="F95" s="237">
        <f>VLOOKUP(A95,E_DATA,4,0)</f>
        <v>52</v>
      </c>
      <c r="G95" s="232">
        <f>VLOOKUP(A95,E_DATA,6,0)</f>
        <v>0</v>
      </c>
    </row>
    <row r="96" spans="1:7">
      <c r="A96" s="224" t="s">
        <v>510</v>
      </c>
      <c r="B96" s="233" t="str">
        <f t="shared" si="1"/>
        <v>Rakhi Jodhani</v>
      </c>
      <c r="C96" s="236">
        <f>VLOOKUP(A96,E_DATA,2,0)</f>
        <v>0.33532407407407405</v>
      </c>
      <c r="D96" s="236">
        <v>5.0763888888888886E-2</v>
      </c>
      <c r="E96" s="236">
        <v>0.27759259259259261</v>
      </c>
      <c r="F96" s="237">
        <f>VLOOKUP(A96,E_DATA,4,0)</f>
        <v>53</v>
      </c>
      <c r="G96" s="232">
        <f>VLOOKUP(A96,E_DATA,6,0)</f>
        <v>0.14430000000000001</v>
      </c>
    </row>
    <row r="97" spans="1:7">
      <c r="A97" s="224" t="s">
        <v>511</v>
      </c>
      <c r="B97" s="233" t="str">
        <f t="shared" si="1"/>
        <v>Ramji Prasad</v>
      </c>
      <c r="C97" s="236">
        <f>VLOOKUP(A97,E_DATA,2,0)</f>
        <v>0.34682870370370372</v>
      </c>
      <c r="D97" s="236">
        <v>0.20351851851851852</v>
      </c>
      <c r="E97" s="236">
        <v>5.122685185185185E-2</v>
      </c>
      <c r="F97" s="237">
        <f>VLOOKUP(A97,E_DATA,4,0)</f>
        <v>54</v>
      </c>
      <c r="G97" s="232">
        <f>VLOOKUP(A97,E_DATA,6,0)</f>
        <v>0.55259999999999998</v>
      </c>
    </row>
    <row r="98" spans="1:7">
      <c r="A98" s="224" t="s">
        <v>512</v>
      </c>
      <c r="B98" s="233" t="str">
        <f t="shared" si="1"/>
        <v>Rashid</v>
      </c>
      <c r="C98" s="236">
        <f>VLOOKUP(A98,E_DATA,2,0)</f>
        <v>0.33483796296296298</v>
      </c>
      <c r="D98" s="236">
        <v>6.6759259259259254E-2</v>
      </c>
      <c r="E98" s="236">
        <v>0.23973379629629629</v>
      </c>
      <c r="F98" s="237">
        <f>VLOOKUP(A98,E_DATA,4,0)</f>
        <v>55</v>
      </c>
      <c r="G98" s="232">
        <f>VLOOKUP(A98,E_DATA,6,0)</f>
        <v>0.18940000000000001</v>
      </c>
    </row>
    <row r="99" spans="1:7">
      <c r="A99" s="224" t="s">
        <v>513</v>
      </c>
      <c r="B99" s="233" t="str">
        <f t="shared" si="1"/>
        <v>Rashmi Gajbe</v>
      </c>
      <c r="C99" s="236">
        <f>VLOOKUP(A99,E_DATA,2,0)</f>
        <v>0.34770833333333334</v>
      </c>
      <c r="D99" s="236">
        <v>0.1784375</v>
      </c>
      <c r="E99" s="236">
        <v>8.6782407407407405E-2</v>
      </c>
      <c r="F99" s="237">
        <f>VLOOKUP(A99,E_DATA,4,0)</f>
        <v>56</v>
      </c>
      <c r="G99" s="232">
        <f>VLOOKUP(A99,E_DATA,6,0)</f>
        <v>0.4708</v>
      </c>
    </row>
    <row r="100" spans="1:7">
      <c r="A100" s="224" t="s">
        <v>514</v>
      </c>
      <c r="B100" s="233" t="str">
        <f t="shared" si="1"/>
        <v>Ravi Kumar</v>
      </c>
      <c r="C100" s="236">
        <f>VLOOKUP(A100,E_DATA,2,0)</f>
        <v>0.33384259259259258</v>
      </c>
      <c r="D100" s="236">
        <v>0.19934027777777777</v>
      </c>
      <c r="E100" s="236">
        <v>4.9467592592592591E-2</v>
      </c>
      <c r="F100" s="237">
        <f>VLOOKUP(A100,E_DATA,4,0)</f>
        <v>57</v>
      </c>
      <c r="G100" s="232">
        <f>VLOOKUP(A100,E_DATA,6,0)</f>
        <v>0.53859999999999997</v>
      </c>
    </row>
    <row r="101" spans="1:7">
      <c r="A101" s="224" t="s">
        <v>515</v>
      </c>
      <c r="B101" s="233" t="str">
        <f t="shared" si="1"/>
        <v>Ravinder Kaur</v>
      </c>
      <c r="C101" s="236">
        <f>VLOOKUP(A101,E_DATA,2,0)</f>
        <v>0.3346412037037037</v>
      </c>
      <c r="D101" s="236">
        <v>0.19371527777777778</v>
      </c>
      <c r="E101" s="236">
        <v>4.8240740740740744E-2</v>
      </c>
      <c r="F101" s="237">
        <f>VLOOKUP(A101,E_DATA,4,0)</f>
        <v>58</v>
      </c>
      <c r="G101" s="232">
        <f>VLOOKUP(A101,E_DATA,6,0)</f>
        <v>0.53290000000000004</v>
      </c>
    </row>
    <row r="102" spans="1:7">
      <c r="A102" s="224" t="s">
        <v>516</v>
      </c>
      <c r="B102" s="233" t="str">
        <f t="shared" si="1"/>
        <v>Rekha Agarwal</v>
      </c>
      <c r="C102" s="236">
        <f>VLOOKUP(A102,E_DATA,2,0)</f>
        <v>0.24574074074074073</v>
      </c>
      <c r="D102" s="236">
        <v>0.12021990740740741</v>
      </c>
      <c r="E102" s="236">
        <v>0.11229166666666666</v>
      </c>
      <c r="F102" s="237">
        <f>VLOOKUP(A102,E_DATA,4,0)</f>
        <v>59</v>
      </c>
      <c r="G102" s="232">
        <f>VLOOKUP(A102,E_DATA,6,0)</f>
        <v>0.41310000000000002</v>
      </c>
    </row>
    <row r="103" spans="1:7">
      <c r="A103" s="224" t="s">
        <v>517</v>
      </c>
      <c r="B103" s="233" t="str">
        <f t="shared" si="1"/>
        <v>Rekha Gupta</v>
      </c>
      <c r="C103" s="236">
        <f>VLOOKUP(A103,E_DATA,2,0)</f>
        <v>0.34446759259259258</v>
      </c>
      <c r="D103" s="236">
        <v>0.18254629629629629</v>
      </c>
      <c r="E103" s="236">
        <v>7.6817129629629624E-2</v>
      </c>
      <c r="F103" s="237">
        <f>VLOOKUP(A103,E_DATA,4,0)</f>
        <v>60</v>
      </c>
      <c r="G103" s="232">
        <f>VLOOKUP(A103,E_DATA,6,0)</f>
        <v>0.50480000000000003</v>
      </c>
    </row>
    <row r="104" spans="1:7">
      <c r="A104" s="224" t="s">
        <v>518</v>
      </c>
      <c r="B104" s="233" t="str">
        <f t="shared" si="1"/>
        <v>Rekha Jain</v>
      </c>
      <c r="C104" s="236">
        <f>VLOOKUP(A104,E_DATA,2,0)</f>
        <v>0.34423611111111113</v>
      </c>
      <c r="D104" s="236">
        <v>0.18436342592592592</v>
      </c>
      <c r="E104" s="236">
        <v>6.7326388888888894E-2</v>
      </c>
      <c r="F104" s="237">
        <f>VLOOKUP(A104,E_DATA,4,0)</f>
        <v>61</v>
      </c>
      <c r="G104" s="232">
        <f>VLOOKUP(A104,E_DATA,6,0)</f>
        <v>0.52390000000000003</v>
      </c>
    </row>
    <row r="105" spans="1:7">
      <c r="A105" s="224" t="s">
        <v>519</v>
      </c>
      <c r="B105" s="233" t="str">
        <f t="shared" si="1"/>
        <v>Renu Pratap</v>
      </c>
      <c r="C105" s="236">
        <f>VLOOKUP(A105,E_DATA,2,0)</f>
        <v>0.34479166666666666</v>
      </c>
      <c r="D105" s="236">
        <v>0.10450231481481481</v>
      </c>
      <c r="E105" s="236">
        <v>0.21383101851851852</v>
      </c>
      <c r="F105" s="237">
        <f>VLOOKUP(A105,E_DATA,4,0)</f>
        <v>62</v>
      </c>
      <c r="G105" s="232">
        <f>VLOOKUP(A105,E_DATA,6,0)</f>
        <v>0.25440000000000002</v>
      </c>
    </row>
    <row r="106" spans="1:7">
      <c r="A106" s="224" t="s">
        <v>520</v>
      </c>
      <c r="B106" s="233" t="str">
        <f t="shared" si="1"/>
        <v>Ritu Bhatnagar</v>
      </c>
      <c r="C106" s="236">
        <f>VLOOKUP(A106,E_DATA,2,0)</f>
        <v>0.33458333333333334</v>
      </c>
      <c r="D106" s="236">
        <v>0.20292824074074073</v>
      </c>
      <c r="E106" s="236">
        <v>5.0925925925925923E-2</v>
      </c>
      <c r="F106" s="237">
        <f>VLOOKUP(A106,E_DATA,4,0)</f>
        <v>63</v>
      </c>
      <c r="G106" s="232">
        <f>VLOOKUP(A106,E_DATA,6,0)</f>
        <v>0.55520000000000003</v>
      </c>
    </row>
    <row r="107" spans="1:7">
      <c r="A107" s="224" t="s">
        <v>521</v>
      </c>
      <c r="B107" s="233" t="str">
        <f t="shared" si="1"/>
        <v>Rohit Nishchal</v>
      </c>
      <c r="C107" s="236">
        <f>VLOOKUP(A107,E_DATA,2,0)</f>
        <v>0.34524305555555557</v>
      </c>
      <c r="D107" s="224"/>
      <c r="E107" s="236">
        <v>0.34513888888888888</v>
      </c>
      <c r="F107" s="237">
        <f>VLOOKUP(A107,E_DATA,4,0)</f>
        <v>64</v>
      </c>
      <c r="G107" s="232">
        <f>VLOOKUP(A107,E_DATA,6,0)</f>
        <v>0</v>
      </c>
    </row>
    <row r="108" spans="1:7">
      <c r="A108" s="224" t="s">
        <v>522</v>
      </c>
      <c r="B108" s="233" t="str">
        <f t="shared" si="1"/>
        <v>Roli Bhatnagar</v>
      </c>
      <c r="C108" s="236">
        <f>VLOOKUP(A108,E_DATA,2,0)</f>
        <v>0.34424768518518517</v>
      </c>
      <c r="D108" s="231"/>
      <c r="E108" s="236">
        <v>9.0462962962962967E-2</v>
      </c>
      <c r="F108" s="237">
        <f>VLOOKUP(A108,E_DATA,4,0)</f>
        <v>65</v>
      </c>
      <c r="G108" s="232">
        <f>VLOOKUP(A108,E_DATA,6,0)</f>
        <v>0.47710000000000002</v>
      </c>
    </row>
    <row r="109" spans="1:7">
      <c r="A109" s="224" t="s">
        <v>523</v>
      </c>
      <c r="B109" s="233" t="str">
        <f t="shared" si="1"/>
        <v>Roma Rastogi</v>
      </c>
      <c r="C109" s="236">
        <f>VLOOKUP(A109,E_DATA,2,0)</f>
        <v>0.35488425925925926</v>
      </c>
      <c r="D109" s="231"/>
      <c r="E109" s="236">
        <v>3.7349537037037035E-2</v>
      </c>
      <c r="F109" s="237">
        <f>VLOOKUP(A109,E_DATA,4,0)</f>
        <v>66</v>
      </c>
      <c r="G109" s="232">
        <f>VLOOKUP(A109,E_DATA,6,0)</f>
        <v>0.61919999999999997</v>
      </c>
    </row>
    <row r="110" spans="1:7">
      <c r="A110" s="224" t="s">
        <v>524</v>
      </c>
      <c r="B110" s="233" t="str">
        <f t="shared" si="1"/>
        <v>Roohi Haider</v>
      </c>
      <c r="C110" s="236">
        <f>VLOOKUP(A110,E_DATA,2,0)</f>
        <v>0.33346064814814813</v>
      </c>
      <c r="D110" s="231"/>
      <c r="E110" s="236">
        <v>4.8194444444444443E-2</v>
      </c>
      <c r="F110" s="237">
        <f>VLOOKUP(A110,E_DATA,4,0)</f>
        <v>67</v>
      </c>
      <c r="G110" s="232">
        <f>VLOOKUP(A110,E_DATA,6,0)</f>
        <v>0.55310000000000004</v>
      </c>
    </row>
    <row r="111" spans="1:7">
      <c r="A111" s="224" t="s">
        <v>525</v>
      </c>
      <c r="B111" s="233" t="str">
        <f t="shared" si="1"/>
        <v>Sajid Naqvi</v>
      </c>
      <c r="C111" s="236">
        <f>VLOOKUP(A111,E_DATA,2,0)</f>
        <v>0.34430555555555553</v>
      </c>
      <c r="D111" s="231"/>
      <c r="E111" s="236">
        <v>4.7685185185185185E-2</v>
      </c>
      <c r="F111" s="237">
        <f>VLOOKUP(A111,E_DATA,4,0)</f>
        <v>68</v>
      </c>
      <c r="G111" s="232">
        <f>VLOOKUP(A111,E_DATA,6,0)</f>
        <v>0.56200000000000006</v>
      </c>
    </row>
    <row r="112" spans="1:7">
      <c r="A112" s="224" t="s">
        <v>526</v>
      </c>
      <c r="B112" s="233" t="str">
        <f t="shared" si="1"/>
        <v>Salim</v>
      </c>
      <c r="C112" s="236">
        <f>VLOOKUP(A112,E_DATA,2,0)</f>
        <v>0.34439814814814818</v>
      </c>
      <c r="D112" s="231"/>
      <c r="E112" s="236">
        <v>8.2974537037037041E-2</v>
      </c>
      <c r="F112" s="237">
        <f>VLOOKUP(A112,E_DATA,4,0)</f>
        <v>69</v>
      </c>
      <c r="G112" s="232">
        <f>VLOOKUP(A112,E_DATA,6,0)</f>
        <v>0.48780000000000001</v>
      </c>
    </row>
    <row r="113" spans="1:7">
      <c r="A113" s="224" t="s">
        <v>527</v>
      </c>
      <c r="B113" s="233" t="str">
        <f t="shared" si="1"/>
        <v>Sanjay Hire</v>
      </c>
      <c r="C113" s="236">
        <f>VLOOKUP(A113,E_DATA,2,0)</f>
        <v>0.34435185185185185</v>
      </c>
      <c r="D113" s="231"/>
      <c r="E113" s="236">
        <v>4.8414351851851854E-2</v>
      </c>
      <c r="F113" s="237">
        <f>VLOOKUP(A113,E_DATA,4,0)</f>
        <v>70</v>
      </c>
      <c r="G113" s="232">
        <f>VLOOKUP(A113,E_DATA,6,0)</f>
        <v>0.55410000000000004</v>
      </c>
    </row>
    <row r="114" spans="1:7">
      <c r="A114" s="224" t="s">
        <v>528</v>
      </c>
      <c r="B114" s="233" t="str">
        <f t="shared" si="1"/>
        <v>Sanjiv Subherwal</v>
      </c>
      <c r="C114" s="236">
        <f>VLOOKUP(A114,E_DATA,2,0)</f>
        <v>0.33491898148148147</v>
      </c>
      <c r="D114" s="231"/>
      <c r="E114" s="236">
        <v>4.8784722222222222E-2</v>
      </c>
      <c r="F114" s="237">
        <f>VLOOKUP(A114,E_DATA,4,0)</f>
        <v>71</v>
      </c>
      <c r="G114" s="232">
        <f>VLOOKUP(A114,E_DATA,6,0)</f>
        <v>0.58650000000000002</v>
      </c>
    </row>
    <row r="115" spans="1:7">
      <c r="A115" s="224" t="s">
        <v>529</v>
      </c>
      <c r="B115" s="233" t="str">
        <f t="shared" si="1"/>
        <v>Sanju Ramdas</v>
      </c>
      <c r="C115" s="236">
        <f>VLOOKUP(A115,E_DATA,2,0)</f>
        <v>0.34442129629629631</v>
      </c>
      <c r="D115" s="231"/>
      <c r="E115" s="236">
        <v>5.1342592592592592E-2</v>
      </c>
      <c r="F115" s="237">
        <f>VLOOKUP(A115,E_DATA,4,0)</f>
        <v>72</v>
      </c>
      <c r="G115" s="232">
        <f>VLOOKUP(A115,E_DATA,6,0)</f>
        <v>0.58169999999999999</v>
      </c>
    </row>
    <row r="116" spans="1:7">
      <c r="A116" s="224" t="s">
        <v>530</v>
      </c>
      <c r="B116" s="233" t="str">
        <f t="shared" si="1"/>
        <v>Santosh Kumar</v>
      </c>
      <c r="C116" s="236">
        <f>VLOOKUP(A116,E_DATA,2,0)</f>
        <v>0.33370370370370372</v>
      </c>
      <c r="D116" s="231"/>
      <c r="E116" s="236">
        <v>4.8472222222222222E-2</v>
      </c>
      <c r="F116" s="237">
        <f>VLOOKUP(A116,E_DATA,4,0)</f>
        <v>73</v>
      </c>
      <c r="G116" s="232">
        <f>VLOOKUP(A116,E_DATA,6,0)</f>
        <v>0.5907</v>
      </c>
    </row>
    <row r="117" spans="1:7">
      <c r="A117" s="224" t="s">
        <v>531</v>
      </c>
      <c r="B117" s="233" t="str">
        <f t="shared" si="1"/>
        <v>Santosh Kumar</v>
      </c>
      <c r="C117" s="236">
        <f>VLOOKUP(A117,E_DATA,2,0)</f>
        <v>0.34518518518518521</v>
      </c>
      <c r="D117" s="231"/>
      <c r="E117" s="236">
        <v>4.9282407407407407E-2</v>
      </c>
      <c r="F117" s="237">
        <f>VLOOKUP(A117,E_DATA,4,0)</f>
        <v>74</v>
      </c>
      <c r="G117" s="232">
        <f>VLOOKUP(A117,E_DATA,6,0)</f>
        <v>0.58640000000000003</v>
      </c>
    </row>
    <row r="118" spans="1:7">
      <c r="A118" s="224" t="s">
        <v>532</v>
      </c>
      <c r="B118" s="233" t="str">
        <f t="shared" si="1"/>
        <v>Santosh Kumar</v>
      </c>
      <c r="C118" s="236">
        <f>VLOOKUP(A118,E_DATA,2,0)</f>
        <v>0.3354050925925926</v>
      </c>
      <c r="D118" s="231"/>
      <c r="E118" s="236">
        <v>5.0011574074074076E-2</v>
      </c>
      <c r="F118" s="237">
        <f>VLOOKUP(A118,E_DATA,4,0)</f>
        <v>75</v>
      </c>
      <c r="G118" s="232">
        <f>VLOOKUP(A118,E_DATA,6,0)</f>
        <v>0.54649999999999999</v>
      </c>
    </row>
    <row r="119" spans="1:7">
      <c r="A119" s="224" t="s">
        <v>533</v>
      </c>
      <c r="B119" s="233" t="str">
        <f t="shared" si="1"/>
        <v>Sapna Sharma</v>
      </c>
      <c r="C119" s="236">
        <f>VLOOKUP(A119,E_DATA,2,0)</f>
        <v>0.33627314814814813</v>
      </c>
      <c r="D119" s="231"/>
      <c r="E119" s="236">
        <v>6.4317129629629627E-2</v>
      </c>
      <c r="F119" s="237">
        <f>VLOOKUP(A119,E_DATA,4,0)</f>
        <v>76</v>
      </c>
      <c r="G119" s="232">
        <f>VLOOKUP(A119,E_DATA,6,0)</f>
        <v>0.53239999999999998</v>
      </c>
    </row>
    <row r="120" spans="1:7">
      <c r="A120" s="224" t="s">
        <v>534</v>
      </c>
      <c r="B120" s="233" t="str">
        <f t="shared" si="1"/>
        <v>Saroj Parita</v>
      </c>
      <c r="C120" s="236">
        <f>VLOOKUP(A120,E_DATA,2,0)</f>
        <v>0.33471064814814816</v>
      </c>
      <c r="D120" s="231"/>
      <c r="E120" s="236">
        <v>7.3344907407407414E-2</v>
      </c>
      <c r="F120" s="237">
        <f>VLOOKUP(A120,E_DATA,4,0)</f>
        <v>77</v>
      </c>
      <c r="G120" s="232">
        <f>VLOOKUP(A120,E_DATA,6,0)</f>
        <v>0.47020000000000001</v>
      </c>
    </row>
    <row r="121" spans="1:7">
      <c r="A121" s="224" t="s">
        <v>535</v>
      </c>
      <c r="B121" s="233" t="str">
        <f t="shared" si="1"/>
        <v>Shailaja Kamal</v>
      </c>
      <c r="C121" s="236">
        <f>VLOOKUP(A121,E_DATA,2,0)</f>
        <v>0.33974537037037039</v>
      </c>
      <c r="D121" s="231"/>
      <c r="E121" s="236">
        <v>4.7754629629629633E-2</v>
      </c>
      <c r="F121" s="237">
        <f>VLOOKUP(A121,E_DATA,4,0)</f>
        <v>78</v>
      </c>
      <c r="G121" s="232">
        <f>VLOOKUP(A121,E_DATA,6,0)</f>
        <v>0.54630000000000001</v>
      </c>
    </row>
    <row r="122" spans="1:7">
      <c r="A122" s="224" t="s">
        <v>536</v>
      </c>
      <c r="B122" s="233" t="str">
        <f t="shared" si="1"/>
        <v>Shailendra Barge</v>
      </c>
      <c r="C122" s="236">
        <f>VLOOKUP(A122,E_DATA,2,0)</f>
        <v>0.34557870370370369</v>
      </c>
      <c r="D122" s="231"/>
      <c r="E122" s="236">
        <v>0.15493055555555554</v>
      </c>
      <c r="F122" s="237">
        <f>VLOOKUP(A122,E_DATA,4,0)</f>
        <v>79</v>
      </c>
      <c r="G122" s="232">
        <f>VLOOKUP(A122,E_DATA,6,0)</f>
        <v>0.38819999999999999</v>
      </c>
    </row>
    <row r="123" spans="1:7">
      <c r="A123" s="224" t="s">
        <v>537</v>
      </c>
      <c r="B123" s="233" t="str">
        <f t="shared" si="1"/>
        <v>Shankar Attendant</v>
      </c>
      <c r="C123" s="236">
        <f>VLOOKUP(A123,E_DATA,2,0)</f>
        <v>0.33189814814814816</v>
      </c>
      <c r="D123" s="231"/>
      <c r="E123" s="236">
        <v>0.13547453703703705</v>
      </c>
      <c r="F123" s="237">
        <f>VLOOKUP(A123,E_DATA,4,0)</f>
        <v>80</v>
      </c>
      <c r="G123" s="232">
        <f>VLOOKUP(A123,E_DATA,6,0)</f>
        <v>0.40279999999999999</v>
      </c>
    </row>
    <row r="124" spans="1:7">
      <c r="A124" s="224" t="s">
        <v>538</v>
      </c>
      <c r="B124" s="233" t="str">
        <f t="shared" si="1"/>
        <v>Shashikant Tiwari</v>
      </c>
      <c r="C124" s="236">
        <f>VLOOKUP(A124,E_DATA,2,0)</f>
        <v>0.34369212962962964</v>
      </c>
      <c r="D124" s="231"/>
      <c r="E124" s="236">
        <v>4.8599537037037038E-2</v>
      </c>
      <c r="F124" s="237">
        <f>VLOOKUP(A124,E_DATA,4,0)</f>
        <v>81</v>
      </c>
      <c r="G124" s="232">
        <f>VLOOKUP(A124,E_DATA,6,0)</f>
        <v>0.54349999999999998</v>
      </c>
    </row>
    <row r="125" spans="1:7">
      <c r="A125" s="224" t="s">
        <v>539</v>
      </c>
      <c r="B125" s="233" t="str">
        <f t="shared" si="1"/>
        <v>Sheeba Joseph</v>
      </c>
      <c r="C125" s="236">
        <f>VLOOKUP(A125,E_DATA,2,0)</f>
        <v>0.3548263888888889</v>
      </c>
      <c r="D125" s="231"/>
      <c r="E125" s="236">
        <v>3.8645833333333331E-2</v>
      </c>
      <c r="F125" s="237">
        <f>VLOOKUP(A125,E_DATA,4,0)</f>
        <v>82</v>
      </c>
      <c r="G125" s="232">
        <f>VLOOKUP(A125,E_DATA,6,0)</f>
        <v>0.28370000000000001</v>
      </c>
    </row>
    <row r="126" spans="1:7">
      <c r="A126" s="224" t="s">
        <v>540</v>
      </c>
      <c r="B126" s="233" t="str">
        <f t="shared" si="1"/>
        <v>Sheena Joseph</v>
      </c>
      <c r="C126" s="236">
        <f>VLOOKUP(A126,E_DATA,2,0)</f>
        <v>0.36775462962962963</v>
      </c>
      <c r="D126" s="231"/>
      <c r="E126" s="236">
        <v>7.048611111111111E-2</v>
      </c>
      <c r="F126" s="237">
        <f>VLOOKUP(A126,E_DATA,4,0)</f>
        <v>83</v>
      </c>
      <c r="G126" s="232">
        <f>VLOOKUP(A126,E_DATA,6,0)</f>
        <v>0.56200000000000006</v>
      </c>
    </row>
    <row r="127" spans="1:7">
      <c r="A127" s="224" t="s">
        <v>541</v>
      </c>
      <c r="B127" s="233" t="str">
        <f t="shared" si="1"/>
        <v>Shephali Jain</v>
      </c>
      <c r="C127" s="236">
        <f>VLOOKUP(A127,E_DATA,2,0)</f>
        <v>0.35119212962962965</v>
      </c>
      <c r="D127" s="231"/>
      <c r="E127" s="236">
        <v>0.14153935185185185</v>
      </c>
      <c r="F127" s="237">
        <f>VLOOKUP(A127,E_DATA,4,0)</f>
        <v>84</v>
      </c>
      <c r="G127" s="232">
        <f>VLOOKUP(A127,E_DATA,6,0)</f>
        <v>0.40329999999999999</v>
      </c>
    </row>
    <row r="128" spans="1:7">
      <c r="A128" s="224" t="s">
        <v>542</v>
      </c>
      <c r="B128" s="233" t="str">
        <f t="shared" si="1"/>
        <v>Shivji Prasad</v>
      </c>
      <c r="C128" s="236">
        <f>VLOOKUP(A128,E_DATA,2,0)</f>
        <v>0.34143518518518517</v>
      </c>
      <c r="D128" s="231"/>
      <c r="E128" s="236">
        <v>9.5694444444444443E-2</v>
      </c>
      <c r="F128" s="237">
        <f>VLOOKUP(A128,E_DATA,4,0)</f>
        <v>85</v>
      </c>
      <c r="G128" s="232">
        <f>VLOOKUP(A128,E_DATA,6,0)</f>
        <v>0.438</v>
      </c>
    </row>
    <row r="129" spans="1:7">
      <c r="A129" s="224" t="s">
        <v>543</v>
      </c>
      <c r="B129" s="233" t="str">
        <f t="shared" si="1"/>
        <v>Shubhanjali Joshi</v>
      </c>
      <c r="C129" s="236">
        <f>VLOOKUP(A129,E_DATA,2,0)</f>
        <v>0.34533564814814816</v>
      </c>
      <c r="D129" s="231"/>
      <c r="E129" s="236">
        <v>5.5231481481481479E-2</v>
      </c>
      <c r="F129" s="237">
        <f>VLOOKUP(A129,E_DATA,4,0)</f>
        <v>86</v>
      </c>
      <c r="G129" s="232">
        <f>VLOOKUP(A129,E_DATA,6,0)</f>
        <v>0.55579999999999996</v>
      </c>
    </row>
    <row r="130" spans="1:7">
      <c r="A130" s="224" t="s">
        <v>544</v>
      </c>
      <c r="B130" s="233" t="str">
        <f t="shared" si="1"/>
        <v>Shyamal Malakar</v>
      </c>
      <c r="C130" s="236">
        <f>VLOOKUP(A130,E_DATA,2,0)</f>
        <v>0.34416666666666668</v>
      </c>
      <c r="D130" s="231"/>
      <c r="E130" s="236">
        <v>0.19140046296296295</v>
      </c>
      <c r="F130" s="237">
        <f>VLOOKUP(A130,E_DATA,4,0)</f>
        <v>87</v>
      </c>
      <c r="G130" s="232">
        <f>VLOOKUP(A130,E_DATA,6,0)</f>
        <v>0.32600000000000001</v>
      </c>
    </row>
    <row r="131" spans="1:7">
      <c r="A131" s="224" t="s">
        <v>545</v>
      </c>
      <c r="B131" s="233" t="str">
        <f t="shared" ref="B131:B150" si="2">MID(A131,FIND("_",A131,1)+1,FIND("(",A131,1)-FIND("_",A131,1)-2)</f>
        <v>Sneh Khan</v>
      </c>
      <c r="C131" s="236">
        <f>VLOOKUP(A131,E_DATA,2,0)</f>
        <v>0.33975694444444443</v>
      </c>
      <c r="D131" s="231"/>
      <c r="E131" s="236">
        <v>4.8506944444444443E-2</v>
      </c>
      <c r="F131" s="237">
        <f>VLOOKUP(A131,E_DATA,4,0)</f>
        <v>88</v>
      </c>
      <c r="G131" s="232">
        <f>VLOOKUP(A131,E_DATA,6,0)</f>
        <v>0.57399999999999995</v>
      </c>
    </row>
    <row r="132" spans="1:7">
      <c r="A132" s="224" t="s">
        <v>546</v>
      </c>
      <c r="B132" s="233" t="str">
        <f t="shared" si="2"/>
        <v>Sonaram Munda</v>
      </c>
      <c r="C132" s="236">
        <f>VLOOKUP(A132,E_DATA,2,0)</f>
        <v>0.33380787037037035</v>
      </c>
      <c r="D132" s="231"/>
      <c r="E132" s="236">
        <v>8.1423611111111113E-2</v>
      </c>
      <c r="F132" s="237">
        <f>VLOOKUP(A132,E_DATA,4,0)</f>
        <v>89</v>
      </c>
      <c r="G132" s="232">
        <f>VLOOKUP(A132,E_DATA,6,0)</f>
        <v>0.4536</v>
      </c>
    </row>
    <row r="133" spans="1:7">
      <c r="A133" s="224" t="s">
        <v>547</v>
      </c>
      <c r="B133" s="233" t="str">
        <f t="shared" si="2"/>
        <v>Sudama Kumar</v>
      </c>
      <c r="C133" s="236">
        <f>VLOOKUP(A133,E_DATA,2,0)</f>
        <v>0.34012731481481484</v>
      </c>
      <c r="D133" s="231"/>
      <c r="E133" s="236">
        <v>0.19189814814814815</v>
      </c>
      <c r="F133" s="237">
        <f>VLOOKUP(A133,E_DATA,4,0)</f>
        <v>90</v>
      </c>
      <c r="G133" s="232">
        <f>VLOOKUP(A133,E_DATA,6,0)</f>
        <v>0.2969</v>
      </c>
    </row>
    <row r="134" spans="1:7">
      <c r="A134" s="224" t="s">
        <v>548</v>
      </c>
      <c r="B134" s="233" t="str">
        <f t="shared" si="2"/>
        <v>Sudhir Kumar</v>
      </c>
      <c r="C134" s="236">
        <f>VLOOKUP(A134,E_DATA,2,0)</f>
        <v>0.33354166666666668</v>
      </c>
      <c r="D134" s="231"/>
      <c r="E134" s="236">
        <v>5.1666666666666666E-2</v>
      </c>
      <c r="F134" s="237">
        <f>VLOOKUP(A134,E_DATA,4,0)</f>
        <v>91</v>
      </c>
      <c r="G134" s="232">
        <f>VLOOKUP(A134,E_DATA,6,0)</f>
        <v>0.55730000000000002</v>
      </c>
    </row>
    <row r="135" spans="1:7">
      <c r="A135" s="224" t="s">
        <v>549</v>
      </c>
      <c r="B135" s="233" t="str">
        <f t="shared" si="2"/>
        <v>Sunil Kumar</v>
      </c>
      <c r="C135" s="236">
        <f>VLOOKUP(A135,E_DATA,2,0)</f>
        <v>0.3357175925925926</v>
      </c>
      <c r="D135" s="231"/>
      <c r="E135" s="236">
        <v>0.1645486111111111</v>
      </c>
      <c r="F135" s="237">
        <f>VLOOKUP(A135,E_DATA,4,0)</f>
        <v>92</v>
      </c>
      <c r="G135" s="232">
        <f>VLOOKUP(A135,E_DATA,6,0)</f>
        <v>0.33279999999999998</v>
      </c>
    </row>
    <row r="136" spans="1:7">
      <c r="A136" s="224" t="s">
        <v>550</v>
      </c>
      <c r="B136" s="233" t="str">
        <f t="shared" si="2"/>
        <v>Sunil Kumar</v>
      </c>
      <c r="C136" s="236">
        <f>VLOOKUP(A136,E_DATA,2,0)</f>
        <v>0.33687499999999998</v>
      </c>
      <c r="D136" s="231"/>
      <c r="E136" s="236">
        <v>9.5034722222222229E-2</v>
      </c>
      <c r="F136" s="237">
        <f>VLOOKUP(A136,E_DATA,4,0)</f>
        <v>93</v>
      </c>
      <c r="G136" s="232">
        <f>VLOOKUP(A136,E_DATA,6,0)</f>
        <v>0.4723</v>
      </c>
    </row>
    <row r="137" spans="1:7">
      <c r="A137" s="224" t="s">
        <v>551</v>
      </c>
      <c r="B137" s="233" t="str">
        <f t="shared" si="2"/>
        <v>Sunita Chawla</v>
      </c>
      <c r="C137" s="236">
        <f>VLOOKUP(A137,E_DATA,2,0)</f>
        <v>0.33709490740740738</v>
      </c>
      <c r="D137" s="231"/>
      <c r="E137" s="236">
        <v>8.7997685185185179E-2</v>
      </c>
      <c r="F137" s="237">
        <f>VLOOKUP(A137,E_DATA,4,0)</f>
        <v>94</v>
      </c>
      <c r="G137" s="232">
        <f>VLOOKUP(A137,E_DATA,6,0)</f>
        <v>0.5111</v>
      </c>
    </row>
    <row r="138" spans="1:7">
      <c r="A138" s="224" t="s">
        <v>552</v>
      </c>
      <c r="B138" s="233" t="str">
        <f t="shared" si="2"/>
        <v>Sunita Madnani</v>
      </c>
      <c r="C138" s="236">
        <f>VLOOKUP(A138,E_DATA,2,0)</f>
        <v>0.34307870370370369</v>
      </c>
      <c r="D138" s="231"/>
      <c r="E138" s="236">
        <v>4.7395833333333331E-2</v>
      </c>
      <c r="F138" s="237">
        <f>VLOOKUP(A138,E_DATA,4,0)</f>
        <v>95</v>
      </c>
      <c r="G138" s="232">
        <f>VLOOKUP(A138,E_DATA,6,0)</f>
        <v>0.58889999999999998</v>
      </c>
    </row>
    <row r="139" spans="1:7">
      <c r="A139" s="224" t="s">
        <v>553</v>
      </c>
      <c r="B139" s="233" t="str">
        <f t="shared" si="2"/>
        <v>Surendra Kumar</v>
      </c>
      <c r="C139" s="236">
        <f>VLOOKUP(A139,E_DATA,2,0)</f>
        <v>0.31192129629629628</v>
      </c>
      <c r="D139" s="231"/>
      <c r="E139" s="236">
        <v>0.1575462962962963</v>
      </c>
      <c r="F139" s="237">
        <f>VLOOKUP(A139,E_DATA,4,0)</f>
        <v>96</v>
      </c>
      <c r="G139" s="232">
        <f>VLOOKUP(A139,E_DATA,6,0)</f>
        <v>0.34289999999999998</v>
      </c>
    </row>
    <row r="140" spans="1:7">
      <c r="A140" s="224" t="s">
        <v>554</v>
      </c>
      <c r="B140" s="233" t="str">
        <f t="shared" si="2"/>
        <v>Surendranath Thakur</v>
      </c>
      <c r="C140" s="236">
        <f>VLOOKUP(A140,E_DATA,2,0)</f>
        <v>0.3568634259259259</v>
      </c>
      <c r="D140" s="231"/>
      <c r="E140" s="236">
        <v>9.5196759259259259E-2</v>
      </c>
      <c r="F140" s="237">
        <f>VLOOKUP(A140,E_DATA,4,0)</f>
        <v>97</v>
      </c>
      <c r="G140" s="232">
        <f>VLOOKUP(A140,E_DATA,6,0)</f>
        <v>0.4975</v>
      </c>
    </row>
    <row r="141" spans="1:7">
      <c r="A141" s="224" t="s">
        <v>555</v>
      </c>
      <c r="B141" s="233" t="str">
        <f t="shared" si="2"/>
        <v>Sushma Khandelwal</v>
      </c>
      <c r="C141" s="236">
        <f>VLOOKUP(A141,E_DATA,2,0)</f>
        <v>0.34392361111111114</v>
      </c>
      <c r="D141" s="231"/>
      <c r="E141" s="236">
        <v>4.8854166666666664E-2</v>
      </c>
      <c r="F141" s="237">
        <f>VLOOKUP(A141,E_DATA,4,0)</f>
        <v>98</v>
      </c>
      <c r="G141" s="232">
        <f>VLOOKUP(A141,E_DATA,6,0)</f>
        <v>0.52429999999999999</v>
      </c>
    </row>
    <row r="142" spans="1:7">
      <c r="A142" s="224" t="s">
        <v>556</v>
      </c>
      <c r="B142" s="233" t="str">
        <f t="shared" si="2"/>
        <v>Swarnlata Borse</v>
      </c>
      <c r="C142" s="236">
        <f>VLOOKUP(A142,E_DATA,2,0)</f>
        <v>0.34658564814814813</v>
      </c>
      <c r="D142" s="231"/>
      <c r="E142" s="236">
        <v>0.18931712962962963</v>
      </c>
      <c r="F142" s="237">
        <f>VLOOKUP(A142,E_DATA,4,0)</f>
        <v>99</v>
      </c>
      <c r="G142" s="232">
        <f>VLOOKUP(A142,E_DATA,6,0)</f>
        <v>0.31069999999999998</v>
      </c>
    </row>
    <row r="143" spans="1:7">
      <c r="A143" s="224" t="s">
        <v>557</v>
      </c>
      <c r="B143" s="233" t="str">
        <f t="shared" si="2"/>
        <v>Syed Naved</v>
      </c>
      <c r="C143" s="236">
        <f>VLOOKUP(A143,E_DATA,2,0)</f>
        <v>0.34281250000000002</v>
      </c>
      <c r="D143" s="231"/>
      <c r="E143" s="236">
        <v>5.1898148148148152E-2</v>
      </c>
      <c r="F143" s="237">
        <f>VLOOKUP(A143,E_DATA,4,0)</f>
        <v>100</v>
      </c>
      <c r="G143" s="232">
        <f>VLOOKUP(A143,E_DATA,6,0)</f>
        <v>0.58460000000000001</v>
      </c>
    </row>
    <row r="144" spans="1:7">
      <c r="A144" s="224" t="s">
        <v>558</v>
      </c>
      <c r="B144" s="233" t="str">
        <f t="shared" si="2"/>
        <v>Syed Saqib</v>
      </c>
      <c r="C144" s="236">
        <f>VLOOKUP(A144,E_DATA,2,0)</f>
        <v>0.35055555555555556</v>
      </c>
      <c r="D144" s="231"/>
      <c r="E144" s="236">
        <v>0.21081018518518518</v>
      </c>
      <c r="F144" s="237">
        <f>VLOOKUP(A144,E_DATA,4,0)</f>
        <v>101</v>
      </c>
      <c r="G144" s="232">
        <f>VLOOKUP(A144,E_DATA,6,0)</f>
        <v>0.31690000000000002</v>
      </c>
    </row>
    <row r="145" spans="1:7">
      <c r="A145" s="224" t="s">
        <v>559</v>
      </c>
      <c r="B145" s="233" t="str">
        <f t="shared" si="2"/>
        <v>Syed Sohail</v>
      </c>
      <c r="C145" s="236">
        <f>VLOOKUP(A145,E_DATA,2,0)</f>
        <v>0.34575231481481483</v>
      </c>
      <c r="D145" s="231"/>
      <c r="E145" s="236">
        <v>5.0046296296296297E-2</v>
      </c>
      <c r="F145" s="237">
        <f>VLOOKUP(A145,E_DATA,4,0)</f>
        <v>102</v>
      </c>
      <c r="G145" s="232">
        <f>VLOOKUP(A145,E_DATA,6,0)</f>
        <v>0.56379999999999997</v>
      </c>
    </row>
    <row r="146" spans="1:7">
      <c r="A146" s="224" t="s">
        <v>560</v>
      </c>
      <c r="B146" s="233" t="str">
        <f t="shared" si="2"/>
        <v>System Operator</v>
      </c>
      <c r="C146" s="236">
        <f>VLOOKUP(A146,E_DATA,2,0)</f>
        <v>0.35479166666666667</v>
      </c>
      <c r="D146" s="231"/>
      <c r="E146" s="236">
        <v>3.8946759259259257E-2</v>
      </c>
      <c r="F146" s="237">
        <f>VLOOKUP(A146,E_DATA,4,0)</f>
        <v>103</v>
      </c>
      <c r="G146" s="232">
        <f>VLOOKUP(A146,E_DATA,6,0)</f>
        <v>0.54779999999999995</v>
      </c>
    </row>
    <row r="147" spans="1:7">
      <c r="A147" s="224" t="s">
        <v>561</v>
      </c>
      <c r="B147" s="233" t="str">
        <f t="shared" si="2"/>
        <v>Tahira Qureshi</v>
      </c>
      <c r="C147" s="236">
        <f>VLOOKUP(A147,E_DATA,2,0)</f>
        <v>0.36542824074074076</v>
      </c>
      <c r="D147" s="231"/>
      <c r="E147" s="236">
        <v>0.16840277777777779</v>
      </c>
      <c r="F147" s="237">
        <f>VLOOKUP(A147,E_DATA,4,0)</f>
        <v>104</v>
      </c>
      <c r="G147" s="232">
        <f>VLOOKUP(A147,E_DATA,6,0)</f>
        <v>0.37969999999999998</v>
      </c>
    </row>
    <row r="148" spans="1:7">
      <c r="A148" s="224" t="s">
        <v>562</v>
      </c>
      <c r="B148" s="233" t="str">
        <f t="shared" si="2"/>
        <v>Tapas Chakraborty</v>
      </c>
      <c r="C148" s="236">
        <f>VLOOKUP(A148,E_DATA,2,0)</f>
        <v>0.34370370370370368</v>
      </c>
      <c r="D148" s="231"/>
      <c r="E148" s="236">
        <v>5.0127314814814812E-2</v>
      </c>
      <c r="F148" s="237">
        <f>VLOOKUP(A148,E_DATA,4,0)</f>
        <v>105</v>
      </c>
      <c r="G148" s="232">
        <f>VLOOKUP(A148,E_DATA,6,0)</f>
        <v>0.56530000000000002</v>
      </c>
    </row>
    <row r="149" spans="1:7">
      <c r="A149" s="224" t="s">
        <v>563</v>
      </c>
      <c r="B149" s="233" t="str">
        <f t="shared" si="2"/>
        <v>Tariq Akhlaq</v>
      </c>
      <c r="C149" s="236">
        <f>VLOOKUP(A149,E_DATA,2,0)</f>
        <v>0.20827546296296295</v>
      </c>
      <c r="D149" s="231"/>
      <c r="E149" s="236">
        <v>1.0451388888888889E-2</v>
      </c>
      <c r="F149" s="237">
        <f>VLOOKUP(A149,E_DATA,4,0)</f>
        <v>106</v>
      </c>
      <c r="G149" s="232">
        <f>VLOOKUP(A149,E_DATA,6,0)</f>
        <v>0.60260000000000002</v>
      </c>
    </row>
    <row r="150" spans="1:7">
      <c r="A150" s="224" t="s">
        <v>564</v>
      </c>
      <c r="B150" s="233" t="str">
        <f t="shared" si="2"/>
        <v>Tasneem Khan</v>
      </c>
      <c r="C150" s="236">
        <f>VLOOKUP(A150,E_DATA,2,0)</f>
        <v>0.35688657407407409</v>
      </c>
      <c r="D150" s="231"/>
      <c r="E150" s="236">
        <v>9.5034722222222229E-2</v>
      </c>
      <c r="F150" s="237">
        <f>VLOOKUP(A150,E_DATA,4,0)</f>
        <v>107</v>
      </c>
      <c r="G150" s="232">
        <f>VLOOKUP(A150,E_DATA,6,0)</f>
        <v>0.49809999999999999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3C29C-19AF-4666-BA3E-548AD01BC952}">
  <dimension ref="A1:B9"/>
  <sheetViews>
    <sheetView workbookViewId="0">
      <selection activeCell="A5" sqref="A5:B9"/>
    </sheetView>
  </sheetViews>
  <sheetFormatPr defaultRowHeight="15"/>
  <cols>
    <col min="1" max="1" width="15.42578125" bestFit="1" customWidth="1"/>
    <col min="2" max="2" width="36.5703125" bestFit="1" customWidth="1"/>
    <col min="3" max="143" width="8.5703125" bestFit="1" customWidth="1"/>
    <col min="144" max="144" width="11.140625" bestFit="1" customWidth="1"/>
  </cols>
  <sheetData>
    <row r="1" spans="1:2">
      <c r="A1" s="277"/>
      <c r="B1" s="277"/>
    </row>
    <row r="2" spans="1:2" ht="31.5" customHeight="1">
      <c r="A2" s="277"/>
      <c r="B2" s="277"/>
    </row>
    <row r="3" spans="1:2" ht="19.5" customHeight="1">
      <c r="A3" s="276" t="s">
        <v>591</v>
      </c>
      <c r="B3" s="276"/>
    </row>
    <row r="4" spans="1:2" ht="15" customHeight="1">
      <c r="A4" s="239" t="s">
        <v>592</v>
      </c>
      <c r="B4" s="240" t="s">
        <v>593</v>
      </c>
    </row>
    <row r="5" spans="1:2">
      <c r="A5" t="s">
        <v>594</v>
      </c>
      <c r="B5" s="238">
        <v>1.3668402777777779</v>
      </c>
    </row>
    <row r="6" spans="1:2">
      <c r="A6" t="s">
        <v>595</v>
      </c>
      <c r="B6" s="238">
        <v>0.66396990740740747</v>
      </c>
    </row>
    <row r="7" spans="1:2">
      <c r="A7" t="s">
        <v>596</v>
      </c>
      <c r="B7" s="238">
        <v>0.67937500000000006</v>
      </c>
    </row>
    <row r="8" spans="1:2">
      <c r="A8" t="s">
        <v>597</v>
      </c>
      <c r="B8" s="238">
        <v>1.0142939814814815</v>
      </c>
    </row>
    <row r="9" spans="1:2">
      <c r="A9" t="s">
        <v>598</v>
      </c>
      <c r="B9" s="238">
        <v>0.67259259259259263</v>
      </c>
    </row>
  </sheetData>
  <mergeCells count="2">
    <mergeCell ref="A3:B3"/>
    <mergeCell ref="A1:B2"/>
  </mergeCell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62DF-C69F-4403-A351-B5B9D5EC95B2}">
  <sheetPr>
    <tabColor theme="2" tint="-0.249977111117893"/>
  </sheetPr>
  <dimension ref="A1:U244"/>
  <sheetViews>
    <sheetView topLeftCell="A13" workbookViewId="0">
      <selection activeCell="C31" sqref="C31"/>
    </sheetView>
  </sheetViews>
  <sheetFormatPr defaultRowHeight="15"/>
  <cols>
    <col min="1" max="1" width="18.85546875" customWidth="1"/>
    <col min="2" max="2" width="21.42578125" customWidth="1"/>
    <col min="3" max="3" width="18.140625" bestFit="1" customWidth="1"/>
    <col min="4" max="4" width="20.140625" bestFit="1" customWidth="1"/>
    <col min="5" max="5" width="16.140625" bestFit="1" customWidth="1"/>
    <col min="6" max="6" width="36.5703125" bestFit="1" customWidth="1"/>
    <col min="7" max="7" width="28.42578125" bestFit="1" customWidth="1"/>
    <col min="8" max="10" width="36.5703125" bestFit="1" customWidth="1"/>
    <col min="11" max="11" width="10" bestFit="1" customWidth="1"/>
    <col min="12" max="12" width="13.42578125" bestFit="1" customWidth="1"/>
    <col min="13" max="13" width="9.5703125" bestFit="1" customWidth="1"/>
    <col min="14" max="14" width="10" bestFit="1" customWidth="1"/>
    <col min="15" max="15" width="13.42578125" bestFit="1" customWidth="1"/>
    <col min="17" max="17" width="12.7109375" customWidth="1"/>
    <col min="18" max="18" width="36.5703125" bestFit="1" customWidth="1"/>
    <col min="19" max="19" width="11.85546875" bestFit="1" customWidth="1"/>
  </cols>
  <sheetData>
    <row r="1" spans="1:21" ht="37.5" customHeight="1">
      <c r="A1" s="157"/>
      <c r="B1" s="166" t="s">
        <v>599</v>
      </c>
      <c r="C1" s="158"/>
      <c r="D1" s="158"/>
      <c r="E1" s="158"/>
      <c r="F1" s="158"/>
      <c r="G1" s="158"/>
      <c r="H1" s="158"/>
      <c r="I1" s="158"/>
      <c r="J1" s="158"/>
    </row>
    <row r="2" spans="1:21" ht="24">
      <c r="A2" s="100"/>
      <c r="B2" s="160"/>
      <c r="C2" s="100"/>
      <c r="D2" s="100"/>
      <c r="E2" s="100"/>
      <c r="F2" s="100"/>
      <c r="G2" s="100"/>
      <c r="H2" s="100"/>
      <c r="I2" s="100"/>
      <c r="J2" s="100"/>
    </row>
    <row r="3" spans="1:21" ht="24">
      <c r="A3" s="100"/>
      <c r="B3" s="161" t="s">
        <v>1</v>
      </c>
      <c r="C3" s="159" t="s">
        <v>2</v>
      </c>
      <c r="D3" s="159" t="s">
        <v>129</v>
      </c>
      <c r="E3" s="159" t="s">
        <v>6</v>
      </c>
      <c r="F3" s="159" t="s">
        <v>600</v>
      </c>
      <c r="G3" s="100"/>
      <c r="H3" s="159" t="s">
        <v>1</v>
      </c>
      <c r="I3" s="159" t="s">
        <v>6</v>
      </c>
      <c r="J3" s="100"/>
    </row>
    <row r="4" spans="1:21" ht="24">
      <c r="A4" s="100"/>
      <c r="B4" s="162">
        <v>101</v>
      </c>
      <c r="C4" s="102" t="s">
        <v>601</v>
      </c>
      <c r="D4" s="102" t="s">
        <v>9</v>
      </c>
      <c r="E4" s="102">
        <v>45000</v>
      </c>
      <c r="F4" s="102" t="s">
        <v>602</v>
      </c>
      <c r="G4" s="100"/>
      <c r="H4" s="102">
        <v>102</v>
      </c>
      <c r="I4" s="102">
        <f>VLOOKUP(H4,B3:F13,4,0)</f>
        <v>52000</v>
      </c>
      <c r="J4" s="100"/>
    </row>
    <row r="5" spans="1:21" ht="24">
      <c r="A5" s="100"/>
      <c r="B5" s="162">
        <v>102</v>
      </c>
      <c r="C5" s="102" t="s">
        <v>603</v>
      </c>
      <c r="D5" s="102" t="s">
        <v>29</v>
      </c>
      <c r="E5" s="102">
        <v>52000</v>
      </c>
      <c r="F5" s="102" t="s">
        <v>360</v>
      </c>
      <c r="G5" s="100"/>
      <c r="H5" s="100"/>
      <c r="I5" s="100"/>
      <c r="J5" s="100"/>
    </row>
    <row r="6" spans="1:21" ht="24">
      <c r="A6" s="100"/>
      <c r="B6" s="162">
        <v>103</v>
      </c>
      <c r="C6" s="102" t="s">
        <v>135</v>
      </c>
      <c r="D6" s="102" t="s">
        <v>12</v>
      </c>
      <c r="E6" s="102">
        <v>60000</v>
      </c>
      <c r="F6" s="102" t="s">
        <v>604</v>
      </c>
      <c r="G6" s="100"/>
      <c r="H6" s="159" t="s">
        <v>1</v>
      </c>
      <c r="I6" s="159" t="s">
        <v>129</v>
      </c>
      <c r="J6" s="100"/>
    </row>
    <row r="7" spans="1:21" ht="24">
      <c r="A7" s="100"/>
      <c r="B7" s="162">
        <v>104</v>
      </c>
      <c r="C7" s="102" t="s">
        <v>133</v>
      </c>
      <c r="D7" s="102" t="s">
        <v>23</v>
      </c>
      <c r="E7" s="102">
        <v>48000</v>
      </c>
      <c r="F7" s="102" t="s">
        <v>602</v>
      </c>
      <c r="G7" s="100"/>
      <c r="H7" s="102">
        <v>115</v>
      </c>
      <c r="I7" s="102" t="s">
        <v>605</v>
      </c>
      <c r="J7" s="100"/>
    </row>
    <row r="8" spans="1:21" ht="24">
      <c r="A8" s="100"/>
      <c r="B8" s="162">
        <v>105</v>
      </c>
      <c r="C8" s="102" t="s">
        <v>606</v>
      </c>
      <c r="D8" s="102" t="s">
        <v>9</v>
      </c>
      <c r="E8" s="102">
        <v>55000</v>
      </c>
      <c r="F8" s="102" t="s">
        <v>607</v>
      </c>
      <c r="G8" s="100"/>
      <c r="H8" s="100"/>
      <c r="I8" s="100"/>
      <c r="J8" s="100"/>
    </row>
    <row r="9" spans="1:21" ht="24">
      <c r="A9" s="100"/>
      <c r="B9" s="162">
        <v>106</v>
      </c>
      <c r="C9" s="102" t="s">
        <v>608</v>
      </c>
      <c r="D9" s="102" t="s">
        <v>29</v>
      </c>
      <c r="E9" s="102">
        <v>51000</v>
      </c>
      <c r="F9" s="102" t="s">
        <v>604</v>
      </c>
      <c r="G9" s="100"/>
      <c r="H9" s="159" t="s">
        <v>2</v>
      </c>
      <c r="I9" s="159" t="s">
        <v>1</v>
      </c>
      <c r="J9" s="100"/>
    </row>
    <row r="10" spans="1:21" ht="21" customHeight="1">
      <c r="A10" s="100"/>
      <c r="B10" s="162">
        <v>107</v>
      </c>
      <c r="C10" s="102" t="s">
        <v>609</v>
      </c>
      <c r="D10" s="102" t="s">
        <v>12</v>
      </c>
      <c r="E10" s="102">
        <v>62000</v>
      </c>
      <c r="F10" s="102" t="s">
        <v>360</v>
      </c>
      <c r="G10" s="100"/>
      <c r="H10" s="102" t="s">
        <v>610</v>
      </c>
      <c r="I10" s="163">
        <f>VLOOKUP(H10,CHOOSE({1,2},C3:C13,B3:B13),2,0)</f>
        <v>104</v>
      </c>
      <c r="J10" s="100"/>
      <c r="R10" s="159" t="s">
        <v>611</v>
      </c>
    </row>
    <row r="11" spans="1:21" ht="24">
      <c r="A11" s="100"/>
      <c r="B11" s="162">
        <v>108</v>
      </c>
      <c r="C11" s="102" t="s">
        <v>612</v>
      </c>
      <c r="D11" s="102" t="s">
        <v>65</v>
      </c>
      <c r="E11" s="102">
        <v>70000</v>
      </c>
      <c r="F11" s="102" t="s">
        <v>613</v>
      </c>
      <c r="G11" s="100"/>
      <c r="H11" s="100"/>
      <c r="I11" s="100"/>
      <c r="J11" s="100"/>
      <c r="M11" s="159" t="s">
        <v>614</v>
      </c>
    </row>
    <row r="12" spans="1:21" ht="24">
      <c r="A12" s="100"/>
      <c r="B12" s="162">
        <v>109</v>
      </c>
      <c r="C12" s="102" t="s">
        <v>131</v>
      </c>
      <c r="D12" s="102" t="s">
        <v>12</v>
      </c>
      <c r="E12" s="102">
        <v>58000</v>
      </c>
      <c r="F12" s="102" t="s">
        <v>602</v>
      </c>
      <c r="G12" s="100"/>
      <c r="H12" s="159" t="s">
        <v>2</v>
      </c>
      <c r="I12" s="159" t="s">
        <v>129</v>
      </c>
      <c r="J12" s="159" t="s">
        <v>6</v>
      </c>
      <c r="L12" s="159" t="s">
        <v>1</v>
      </c>
      <c r="M12" s="159" t="s">
        <v>2</v>
      </c>
      <c r="N12" s="159" t="s">
        <v>6</v>
      </c>
      <c r="O12" s="159" t="s">
        <v>600</v>
      </c>
      <c r="Q12" s="159" t="s">
        <v>1</v>
      </c>
      <c r="R12" s="159" t="s">
        <v>2</v>
      </c>
      <c r="S12" s="159" t="s">
        <v>129</v>
      </c>
      <c r="T12" s="159" t="s">
        <v>6</v>
      </c>
      <c r="U12" s="159" t="s">
        <v>600</v>
      </c>
    </row>
    <row r="13" spans="1:21" ht="29.25">
      <c r="A13" s="100"/>
      <c r="B13" s="162">
        <v>110</v>
      </c>
      <c r="C13" s="102" t="s">
        <v>615</v>
      </c>
      <c r="D13" s="102" t="s">
        <v>23</v>
      </c>
      <c r="E13" s="102">
        <v>47000</v>
      </c>
      <c r="F13" s="102" t="s">
        <v>360</v>
      </c>
      <c r="G13" s="100"/>
      <c r="H13" s="102" t="s">
        <v>616</v>
      </c>
      <c r="I13" s="102" t="str" cm="1">
        <f t="array" ref="I13:J13">VLOOKUP(H13,C3:F13,{2,3},FALSE)</f>
        <v>Marketing</v>
      </c>
      <c r="J13" s="102">
        <v>47000</v>
      </c>
      <c r="L13">
        <v>109</v>
      </c>
      <c r="M13" t="str" cm="1">
        <f t="array" ref="M13:O13">VLOOKUP(L13,B3:F13,{2,4,5},FALSE)</f>
        <v>Rahul</v>
      </c>
      <c r="N13">
        <v>58000</v>
      </c>
      <c r="O13" t="str">
        <v>Mumbai</v>
      </c>
      <c r="Q13">
        <v>109</v>
      </c>
      <c r="R13" s="20" t="str" cm="1">
        <f t="array" ref="R13:U13">VLOOKUP(Q13,B3:F13,_xlfn.SEQUENCE(1,4,2,1),FALSE)</f>
        <v>Rahul</v>
      </c>
      <c r="S13" t="str">
        <v>Finance</v>
      </c>
      <c r="T13">
        <v>58000</v>
      </c>
      <c r="U13" t="str">
        <v>Mumbai</v>
      </c>
    </row>
    <row r="14" spans="1:21" ht="24">
      <c r="A14" s="100"/>
      <c r="B14" s="160"/>
      <c r="C14" s="100"/>
      <c r="D14" s="100"/>
      <c r="E14" s="100"/>
      <c r="F14" s="100"/>
      <c r="G14" s="100"/>
      <c r="H14" s="100"/>
      <c r="I14" s="100"/>
      <c r="J14" s="100"/>
    </row>
    <row r="15" spans="1:21" ht="51">
      <c r="A15" s="100"/>
      <c r="B15" s="164" t="s">
        <v>617</v>
      </c>
      <c r="C15" s="165"/>
      <c r="D15" s="165"/>
      <c r="E15" s="165"/>
      <c r="F15" s="165"/>
      <c r="G15" s="165"/>
      <c r="H15" s="100"/>
      <c r="I15" s="100"/>
      <c r="J15" s="100"/>
    </row>
    <row r="18" spans="2:12" ht="24">
      <c r="B18" s="159" t="s">
        <v>1</v>
      </c>
      <c r="C18" s="159" t="s">
        <v>2</v>
      </c>
      <c r="D18" s="159" t="s">
        <v>129</v>
      </c>
      <c r="E18" s="159" t="s">
        <v>6</v>
      </c>
      <c r="F18" s="159" t="s">
        <v>600</v>
      </c>
      <c r="G18" s="100"/>
      <c r="H18" s="159" t="s">
        <v>1</v>
      </c>
      <c r="I18" s="159" t="s">
        <v>6</v>
      </c>
      <c r="J18" s="100"/>
      <c r="K18" s="100"/>
      <c r="L18" s="100"/>
    </row>
    <row r="19" spans="2:12" ht="24">
      <c r="B19" s="102">
        <v>101</v>
      </c>
      <c r="C19" s="102" t="s">
        <v>601</v>
      </c>
      <c r="D19" s="102" t="s">
        <v>9</v>
      </c>
      <c r="E19" s="102">
        <v>45000</v>
      </c>
      <c r="F19" s="102" t="s">
        <v>602</v>
      </c>
      <c r="G19" s="100"/>
      <c r="H19" s="102">
        <v>106</v>
      </c>
      <c r="I19" s="102">
        <f>INDEX(B18:F28,MATCH(H19,B18:B28,0),4)</f>
        <v>51000</v>
      </c>
      <c r="J19" s="100" cm="1">
        <f t="array" ref="J19">INDEX(B18:B28,7,)</f>
        <v>106</v>
      </c>
      <c r="K19" s="100">
        <f>MATCH(H19,B18:B28,0)</f>
        <v>7</v>
      </c>
      <c r="L19" s="100"/>
    </row>
    <row r="20" spans="2:12" ht="24">
      <c r="B20" s="102">
        <v>102</v>
      </c>
      <c r="C20" s="102" t="s">
        <v>603</v>
      </c>
      <c r="D20" s="102" t="s">
        <v>29</v>
      </c>
      <c r="E20" s="102">
        <v>52000</v>
      </c>
      <c r="F20" s="102" t="s">
        <v>360</v>
      </c>
      <c r="G20" s="100"/>
      <c r="H20" s="100"/>
      <c r="I20" s="100"/>
      <c r="J20" s="100"/>
      <c r="K20" s="100"/>
      <c r="L20" s="100"/>
    </row>
    <row r="21" spans="2:12" ht="24">
      <c r="B21" s="102">
        <v>103</v>
      </c>
      <c r="C21" s="102" t="s">
        <v>135</v>
      </c>
      <c r="D21" s="102" t="s">
        <v>12</v>
      </c>
      <c r="E21" s="102">
        <v>60000</v>
      </c>
      <c r="F21" s="102" t="s">
        <v>604</v>
      </c>
      <c r="G21" s="100"/>
      <c r="H21" s="159" t="s">
        <v>1</v>
      </c>
      <c r="I21" s="159" t="s">
        <v>618</v>
      </c>
      <c r="J21" s="100"/>
      <c r="K21" s="100"/>
      <c r="L21" s="100"/>
    </row>
    <row r="22" spans="2:12" ht="24">
      <c r="B22" s="102">
        <v>104</v>
      </c>
      <c r="C22" s="102" t="s">
        <v>133</v>
      </c>
      <c r="D22" s="102" t="s">
        <v>23</v>
      </c>
      <c r="E22" s="102">
        <v>48000</v>
      </c>
      <c r="F22" s="102" t="s">
        <v>602</v>
      </c>
      <c r="G22" s="100"/>
      <c r="H22" s="102">
        <v>106</v>
      </c>
      <c r="I22" s="102" t="str">
        <f>INDEX(B18:F28,MATCH(H22,B18:B28,0),2)</f>
        <v>Sheetal</v>
      </c>
      <c r="J22" s="100"/>
      <c r="K22" s="100"/>
      <c r="L22" s="100"/>
    </row>
    <row r="23" spans="2:12" ht="24">
      <c r="B23" s="102">
        <v>105</v>
      </c>
      <c r="C23" s="102" t="s">
        <v>606</v>
      </c>
      <c r="D23" s="102" t="s">
        <v>9</v>
      </c>
      <c r="E23" s="102">
        <v>55000</v>
      </c>
      <c r="F23" s="102" t="s">
        <v>607</v>
      </c>
      <c r="G23" s="100"/>
      <c r="H23" s="100"/>
      <c r="I23" s="100"/>
      <c r="J23" s="100"/>
      <c r="K23" s="100"/>
      <c r="L23" s="100"/>
    </row>
    <row r="24" spans="2:12" ht="24">
      <c r="B24" s="102">
        <v>106</v>
      </c>
      <c r="C24" s="102" t="s">
        <v>608</v>
      </c>
      <c r="D24" s="102" t="s">
        <v>29</v>
      </c>
      <c r="E24" s="102">
        <v>51000</v>
      </c>
      <c r="F24" s="102" t="s">
        <v>604</v>
      </c>
      <c r="G24" s="100"/>
      <c r="H24" s="159" t="s">
        <v>2</v>
      </c>
      <c r="I24" s="159" t="s">
        <v>1</v>
      </c>
      <c r="J24" s="100"/>
      <c r="K24" s="100"/>
      <c r="L24" s="100"/>
    </row>
    <row r="25" spans="2:12" ht="24">
      <c r="B25" s="102">
        <v>107</v>
      </c>
      <c r="C25" s="102" t="s">
        <v>609</v>
      </c>
      <c r="D25" s="102" t="s">
        <v>12</v>
      </c>
      <c r="E25" s="102">
        <v>62000</v>
      </c>
      <c r="F25" s="102" t="s">
        <v>360</v>
      </c>
      <c r="G25" s="100"/>
      <c r="H25" s="102" t="s">
        <v>135</v>
      </c>
      <c r="I25" s="102">
        <f>INDEX(B18:F28,MATCH(H25,C18:C28,0),1)</f>
        <v>103</v>
      </c>
      <c r="J25" s="100"/>
      <c r="K25" s="100"/>
      <c r="L25" s="100"/>
    </row>
    <row r="26" spans="2:12" ht="24">
      <c r="B26" s="102">
        <v>108</v>
      </c>
      <c r="C26" s="102" t="s">
        <v>612</v>
      </c>
      <c r="D26" s="102" t="s">
        <v>65</v>
      </c>
      <c r="E26" s="102">
        <v>70000</v>
      </c>
      <c r="F26" s="102" t="s">
        <v>613</v>
      </c>
      <c r="G26" s="100"/>
      <c r="H26" s="100"/>
      <c r="I26" s="100"/>
      <c r="J26" s="100"/>
      <c r="K26" s="100"/>
      <c r="L26" s="100"/>
    </row>
    <row r="27" spans="2:12" ht="24">
      <c r="B27" s="102">
        <v>109</v>
      </c>
      <c r="C27" s="102" t="s">
        <v>131</v>
      </c>
      <c r="D27" s="102" t="s">
        <v>12</v>
      </c>
      <c r="E27" s="102">
        <v>58000</v>
      </c>
      <c r="F27" s="102" t="s">
        <v>602</v>
      </c>
      <c r="G27" s="100"/>
      <c r="H27" s="159" t="s">
        <v>1</v>
      </c>
      <c r="I27" s="159" t="s">
        <v>2</v>
      </c>
      <c r="J27" s="159" t="s">
        <v>129</v>
      </c>
      <c r="K27" s="159" t="s">
        <v>6</v>
      </c>
      <c r="L27" s="159" t="s">
        <v>600</v>
      </c>
    </row>
    <row r="28" spans="2:12" ht="24">
      <c r="B28" s="102">
        <v>110</v>
      </c>
      <c r="C28" s="102" t="s">
        <v>615</v>
      </c>
      <c r="D28" s="102" t="s">
        <v>23</v>
      </c>
      <c r="E28" s="102">
        <v>47000</v>
      </c>
      <c r="F28" s="102" t="s">
        <v>360</v>
      </c>
      <c r="G28" s="100"/>
      <c r="H28" s="102">
        <v>107</v>
      </c>
      <c r="I28" s="102" t="e" cm="1" vm="1">
        <f t="array" aca="1" ref="I28" ca="1">INDEX(B18:F28,MATCH(B18:B28,0),)</f>
        <v>#VALUE!</v>
      </c>
      <c r="J28" s="102"/>
      <c r="K28" s="102"/>
      <c r="L28" s="102"/>
    </row>
    <row r="29" spans="2:12" ht="24"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</row>
    <row r="30" spans="2:12" ht="24">
      <c r="B30" s="159" t="s">
        <v>1</v>
      </c>
      <c r="C30" s="159" t="s">
        <v>2</v>
      </c>
      <c r="D30" s="159" t="s">
        <v>6</v>
      </c>
      <c r="E30" s="159" t="s">
        <v>600</v>
      </c>
      <c r="F30" s="100"/>
      <c r="G30" s="100"/>
      <c r="H30" s="100"/>
      <c r="I30" s="100"/>
      <c r="J30" s="100"/>
      <c r="K30" s="100"/>
      <c r="L30" s="100"/>
    </row>
    <row r="31" spans="2:12" ht="24">
      <c r="B31" s="105">
        <v>102</v>
      </c>
      <c r="C31" s="105" t="str" cm="1">
        <f t="array" ref="C31:E31">INDEX(B18:F28,MATCH(B31,B18:B28,0),{2,4,5})</f>
        <v>Priya</v>
      </c>
      <c r="D31" s="105">
        <v>52000</v>
      </c>
      <c r="E31" s="105" t="str">
        <v>Delhi</v>
      </c>
      <c r="F31" s="100"/>
      <c r="G31" s="100"/>
      <c r="H31" s="100"/>
      <c r="I31" s="100"/>
      <c r="J31" s="100"/>
      <c r="K31" s="100"/>
      <c r="L31" s="100"/>
    </row>
    <row r="34" spans="1:10" ht="24">
      <c r="B34" s="159" t="s">
        <v>1</v>
      </c>
      <c r="C34" s="159" t="s">
        <v>2</v>
      </c>
      <c r="D34" s="159" t="s">
        <v>129</v>
      </c>
      <c r="E34" s="159" t="s">
        <v>6</v>
      </c>
      <c r="F34" s="159" t="s">
        <v>600</v>
      </c>
    </row>
    <row r="35" spans="1:10" ht="24">
      <c r="B35" s="102">
        <v>101</v>
      </c>
      <c r="C35" s="102" t="s">
        <v>601</v>
      </c>
      <c r="D35" s="102" t="s">
        <v>9</v>
      </c>
      <c r="E35" s="102">
        <v>45000</v>
      </c>
      <c r="F35" s="102" t="s">
        <v>602</v>
      </c>
    </row>
    <row r="36" spans="1:10" ht="24">
      <c r="B36" s="102">
        <v>102</v>
      </c>
      <c r="C36" s="102" t="s">
        <v>603</v>
      </c>
      <c r="D36" s="102" t="s">
        <v>29</v>
      </c>
      <c r="E36" s="102">
        <v>52000</v>
      </c>
      <c r="F36" s="102" t="s">
        <v>360</v>
      </c>
    </row>
    <row r="37" spans="1:10" ht="24">
      <c r="B37" s="102">
        <v>103</v>
      </c>
      <c r="C37" s="102" t="s">
        <v>135</v>
      </c>
      <c r="D37" s="102" t="s">
        <v>12</v>
      </c>
      <c r="E37" s="102">
        <v>60000</v>
      </c>
      <c r="F37" s="102" t="s">
        <v>604</v>
      </c>
      <c r="H37" s="159" t="s">
        <v>1</v>
      </c>
      <c r="I37" s="159" t="s">
        <v>129</v>
      </c>
      <c r="J37" s="159" t="s">
        <v>600</v>
      </c>
    </row>
    <row r="38" spans="1:10" ht="24">
      <c r="B38" s="102">
        <v>104</v>
      </c>
      <c r="C38" s="102" t="s">
        <v>133</v>
      </c>
      <c r="D38" s="102" t="s">
        <v>23</v>
      </c>
      <c r="E38" s="102">
        <v>48000</v>
      </c>
      <c r="F38" s="102" t="s">
        <v>602</v>
      </c>
      <c r="H38" s="102">
        <v>107</v>
      </c>
      <c r="I38" s="102" t="str" cm="1">
        <f t="array" ref="I38:J38">_xlfn.XLOOKUP(H38,B34:B44,CHOOSE({1,2},D34:D44,F34:F44))</f>
        <v>Finance</v>
      </c>
      <c r="J38" s="102" t="str">
        <v>Delhi</v>
      </c>
    </row>
    <row r="39" spans="1:10" ht="24">
      <c r="B39" s="102">
        <v>105</v>
      </c>
      <c r="C39" s="102" t="s">
        <v>606</v>
      </c>
      <c r="D39" s="102" t="s">
        <v>9</v>
      </c>
      <c r="E39" s="102">
        <v>55000</v>
      </c>
      <c r="F39" s="102" t="s">
        <v>607</v>
      </c>
    </row>
    <row r="40" spans="1:10" ht="24">
      <c r="B40" s="102">
        <v>106</v>
      </c>
      <c r="C40" s="102" t="s">
        <v>608</v>
      </c>
      <c r="D40" s="102" t="s">
        <v>29</v>
      </c>
      <c r="E40" s="102">
        <v>51000</v>
      </c>
      <c r="F40" s="102" t="s">
        <v>604</v>
      </c>
    </row>
    <row r="41" spans="1:10" ht="24">
      <c r="B41" s="102">
        <v>107</v>
      </c>
      <c r="C41" s="102" t="s">
        <v>609</v>
      </c>
      <c r="D41" s="102" t="s">
        <v>12</v>
      </c>
      <c r="E41" s="102">
        <v>62000</v>
      </c>
      <c r="F41" s="102" t="s">
        <v>360</v>
      </c>
    </row>
    <row r="42" spans="1:10" ht="24">
      <c r="B42" s="102">
        <v>108</v>
      </c>
      <c r="C42" s="102" t="s">
        <v>612</v>
      </c>
      <c r="D42" s="102" t="s">
        <v>65</v>
      </c>
      <c r="E42" s="102">
        <v>70000</v>
      </c>
      <c r="F42" s="102" t="s">
        <v>613</v>
      </c>
    </row>
    <row r="43" spans="1:10" ht="24">
      <c r="B43" s="102">
        <v>109</v>
      </c>
      <c r="C43" s="102" t="s">
        <v>131</v>
      </c>
      <c r="D43" s="102" t="s">
        <v>12</v>
      </c>
      <c r="E43" s="102">
        <v>58000</v>
      </c>
      <c r="F43" s="102" t="s">
        <v>602</v>
      </c>
    </row>
    <row r="44" spans="1:10" ht="24">
      <c r="B44" s="102">
        <v>110</v>
      </c>
      <c r="C44" s="102" t="s">
        <v>615</v>
      </c>
      <c r="D44" s="102" t="s">
        <v>23</v>
      </c>
      <c r="E44" s="102">
        <v>47000</v>
      </c>
      <c r="F44" s="102" t="s">
        <v>360</v>
      </c>
    </row>
    <row r="47" spans="1:10" ht="98.25">
      <c r="A47" s="167" t="s">
        <v>619</v>
      </c>
      <c r="B47" s="168"/>
      <c r="C47" s="168"/>
      <c r="D47" s="168"/>
    </row>
    <row r="49" spans="1:10" ht="24">
      <c r="A49" s="159" t="s">
        <v>1</v>
      </c>
      <c r="B49" s="159" t="s">
        <v>2</v>
      </c>
      <c r="C49" s="159" t="s">
        <v>129</v>
      </c>
      <c r="D49" s="159" t="s">
        <v>620</v>
      </c>
      <c r="E49" s="159" t="s">
        <v>6</v>
      </c>
      <c r="F49" s="159" t="s">
        <v>600</v>
      </c>
      <c r="H49" s="159" t="s">
        <v>129</v>
      </c>
      <c r="I49" s="159" t="s">
        <v>621</v>
      </c>
    </row>
    <row r="50" spans="1:10" ht="24">
      <c r="A50" s="102">
        <v>101</v>
      </c>
      <c r="B50" s="102" t="s">
        <v>601</v>
      </c>
      <c r="C50" s="102" t="s">
        <v>65</v>
      </c>
      <c r="D50" s="102" t="s">
        <v>622</v>
      </c>
      <c r="E50" s="102">
        <v>45000</v>
      </c>
      <c r="F50" s="102" t="s">
        <v>602</v>
      </c>
      <c r="H50" s="105" t="s">
        <v>623</v>
      </c>
      <c r="I50" s="105">
        <f>SUMIF(C49:C63,H50,E49:E63)</f>
        <v>360000</v>
      </c>
    </row>
    <row r="51" spans="1:10" ht="24">
      <c r="A51" s="102">
        <v>102</v>
      </c>
      <c r="B51" s="102" t="s">
        <v>603</v>
      </c>
      <c r="C51" s="102" t="s">
        <v>29</v>
      </c>
      <c r="D51" s="102" t="s">
        <v>624</v>
      </c>
      <c r="E51" s="102">
        <v>52000</v>
      </c>
      <c r="F51" s="102" t="s">
        <v>360</v>
      </c>
    </row>
    <row r="52" spans="1:10" ht="24">
      <c r="A52" s="102">
        <v>103</v>
      </c>
      <c r="B52" s="102" t="s">
        <v>135</v>
      </c>
      <c r="C52" s="102" t="s">
        <v>23</v>
      </c>
      <c r="D52" s="102" t="s">
        <v>622</v>
      </c>
      <c r="E52" s="102">
        <v>60000</v>
      </c>
      <c r="F52" s="102" t="s">
        <v>604</v>
      </c>
      <c r="H52" s="159" t="s">
        <v>620</v>
      </c>
      <c r="I52" s="159" t="s">
        <v>6</v>
      </c>
    </row>
    <row r="53" spans="1:10" ht="24">
      <c r="A53" s="102">
        <v>104</v>
      </c>
      <c r="B53" s="102" t="s">
        <v>133</v>
      </c>
      <c r="C53" s="102" t="s">
        <v>23</v>
      </c>
      <c r="D53" s="102" t="s">
        <v>624</v>
      </c>
      <c r="E53" s="102">
        <v>48000</v>
      </c>
      <c r="F53" s="102" t="s">
        <v>602</v>
      </c>
      <c r="H53" s="105" t="s">
        <v>625</v>
      </c>
      <c r="I53" s="105">
        <f>SUMIF(D49:D63,H53,E49:E63)</f>
        <v>400000</v>
      </c>
    </row>
    <row r="54" spans="1:10" ht="24">
      <c r="A54" s="102">
        <v>105</v>
      </c>
      <c r="B54" s="102" t="s">
        <v>606</v>
      </c>
      <c r="C54" s="102" t="s">
        <v>65</v>
      </c>
      <c r="D54" s="102" t="s">
        <v>622</v>
      </c>
      <c r="E54" s="102">
        <v>55000</v>
      </c>
      <c r="F54" s="102" t="s">
        <v>607</v>
      </c>
    </row>
    <row r="55" spans="1:10" ht="24">
      <c r="A55" s="102">
        <v>106</v>
      </c>
      <c r="B55" s="102" t="s">
        <v>608</v>
      </c>
      <c r="C55" s="102" t="s">
        <v>29</v>
      </c>
      <c r="D55" s="102" t="s">
        <v>624</v>
      </c>
      <c r="E55" s="102">
        <v>51000</v>
      </c>
      <c r="F55" s="102" t="s">
        <v>604</v>
      </c>
      <c r="H55" s="159" t="s">
        <v>129</v>
      </c>
      <c r="I55" s="159" t="s">
        <v>620</v>
      </c>
      <c r="J55" s="159" t="s">
        <v>6</v>
      </c>
    </row>
    <row r="56" spans="1:10" ht="24">
      <c r="A56" s="102">
        <v>107</v>
      </c>
      <c r="B56" s="102" t="s">
        <v>609</v>
      </c>
      <c r="C56" s="102" t="s">
        <v>23</v>
      </c>
      <c r="D56" s="102" t="s">
        <v>622</v>
      </c>
      <c r="E56" s="102">
        <v>62000</v>
      </c>
      <c r="F56" s="102" t="s">
        <v>360</v>
      </c>
      <c r="H56" s="102" t="s">
        <v>623</v>
      </c>
      <c r="I56" s="102" t="s">
        <v>626</v>
      </c>
      <c r="J56" s="102">
        <f>SUMIFS(E49:E63,C49:C63,H56,D49:D63,I56)</f>
        <v>140000</v>
      </c>
    </row>
    <row r="57" spans="1:10" ht="24">
      <c r="A57" s="102">
        <v>108</v>
      </c>
      <c r="B57" s="102" t="s">
        <v>612</v>
      </c>
      <c r="C57" s="102" t="s">
        <v>65</v>
      </c>
      <c r="D57" s="102" t="s">
        <v>624</v>
      </c>
      <c r="E57" s="102">
        <v>70000</v>
      </c>
      <c r="F57" s="102" t="s">
        <v>602</v>
      </c>
    </row>
    <row r="58" spans="1:10" ht="24">
      <c r="A58" s="102">
        <v>109</v>
      </c>
      <c r="B58" s="102" t="s">
        <v>131</v>
      </c>
      <c r="C58" s="102" t="s">
        <v>65</v>
      </c>
      <c r="D58" s="102" t="s">
        <v>622</v>
      </c>
      <c r="E58" s="102">
        <v>58000</v>
      </c>
      <c r="F58" s="102" t="s">
        <v>602</v>
      </c>
    </row>
    <row r="59" spans="1:10" ht="24">
      <c r="A59" s="102">
        <v>110</v>
      </c>
      <c r="B59" s="102" t="s">
        <v>615</v>
      </c>
      <c r="C59" s="102" t="s">
        <v>23</v>
      </c>
      <c r="D59" s="102" t="s">
        <v>624</v>
      </c>
      <c r="E59" s="102">
        <v>51000</v>
      </c>
      <c r="F59" s="102" t="s">
        <v>604</v>
      </c>
    </row>
    <row r="60" spans="1:10" ht="24">
      <c r="A60" s="102">
        <v>111</v>
      </c>
      <c r="B60" s="102" t="s">
        <v>627</v>
      </c>
      <c r="C60" s="102" t="s">
        <v>65</v>
      </c>
      <c r="D60" s="102" t="s">
        <v>622</v>
      </c>
      <c r="E60" s="102">
        <v>62000</v>
      </c>
      <c r="F60" s="102" t="s">
        <v>360</v>
      </c>
    </row>
    <row r="61" spans="1:10" ht="24">
      <c r="A61" s="102">
        <v>112</v>
      </c>
      <c r="B61" s="102" t="s">
        <v>628</v>
      </c>
      <c r="C61" s="102" t="s">
        <v>29</v>
      </c>
      <c r="D61" s="102" t="s">
        <v>624</v>
      </c>
      <c r="E61" s="102">
        <v>70000</v>
      </c>
      <c r="F61" s="102" t="s">
        <v>602</v>
      </c>
    </row>
    <row r="62" spans="1:10" ht="24">
      <c r="A62" s="102">
        <v>113</v>
      </c>
      <c r="B62" s="102" t="s">
        <v>629</v>
      </c>
      <c r="C62" s="102" t="s">
        <v>23</v>
      </c>
      <c r="D62" s="102" t="s">
        <v>622</v>
      </c>
      <c r="E62" s="102">
        <v>58000</v>
      </c>
      <c r="F62" s="102" t="s">
        <v>602</v>
      </c>
    </row>
    <row r="63" spans="1:10" ht="24">
      <c r="A63" s="102">
        <v>114</v>
      </c>
      <c r="B63" s="102" t="s">
        <v>630</v>
      </c>
      <c r="C63" s="102" t="s">
        <v>65</v>
      </c>
      <c r="D63" s="102" t="s">
        <v>624</v>
      </c>
      <c r="E63" s="102">
        <v>70000</v>
      </c>
      <c r="F63" s="102" t="s">
        <v>360</v>
      </c>
    </row>
    <row r="66" spans="1:10" ht="60">
      <c r="A66" s="169" t="s">
        <v>631</v>
      </c>
      <c r="B66" s="170"/>
      <c r="C66" s="170"/>
      <c r="D66" s="170"/>
      <c r="E66" s="170"/>
      <c r="F66" s="170"/>
      <c r="G66" s="170"/>
      <c r="H66" s="170"/>
      <c r="I66" s="170"/>
    </row>
    <row r="67" spans="1:10" ht="24">
      <c r="A67" s="160"/>
      <c r="B67" s="100"/>
      <c r="C67" s="100"/>
      <c r="D67" s="100"/>
      <c r="E67" s="100"/>
      <c r="F67" s="100"/>
      <c r="G67" s="100"/>
      <c r="H67" s="100"/>
      <c r="I67" s="100"/>
    </row>
    <row r="68" spans="1:10" ht="24">
      <c r="A68" s="161" t="s">
        <v>1</v>
      </c>
      <c r="B68" s="159" t="s">
        <v>2</v>
      </c>
      <c r="C68" s="159" t="s">
        <v>129</v>
      </c>
      <c r="D68" s="159" t="s">
        <v>620</v>
      </c>
      <c r="E68" s="159" t="s">
        <v>6</v>
      </c>
      <c r="F68" s="159" t="s">
        <v>600</v>
      </c>
      <c r="G68" s="100"/>
      <c r="H68" s="159" t="s">
        <v>129</v>
      </c>
      <c r="I68" s="159" t="s">
        <v>632</v>
      </c>
    </row>
    <row r="69" spans="1:10" ht="24">
      <c r="A69" s="162">
        <v>101</v>
      </c>
      <c r="B69" s="102" t="s">
        <v>601</v>
      </c>
      <c r="C69" s="102" t="s">
        <v>65</v>
      </c>
      <c r="D69" s="102" t="s">
        <v>622</v>
      </c>
      <c r="E69" s="102">
        <v>45000</v>
      </c>
      <c r="F69" s="102" t="s">
        <v>602</v>
      </c>
      <c r="G69" s="100"/>
      <c r="H69" s="105" t="s">
        <v>65</v>
      </c>
      <c r="I69" s="105">
        <f>COUNT(C68:C82,H69)</f>
        <v>0</v>
      </c>
    </row>
    <row r="70" spans="1:10" ht="24">
      <c r="A70" s="162">
        <v>102</v>
      </c>
      <c r="B70" s="102" t="s">
        <v>603</v>
      </c>
      <c r="C70" s="102" t="s">
        <v>29</v>
      </c>
      <c r="D70" s="102" t="s">
        <v>624</v>
      </c>
      <c r="E70" s="102">
        <v>52000</v>
      </c>
      <c r="F70" s="102" t="s">
        <v>360</v>
      </c>
      <c r="G70" s="100"/>
      <c r="H70" s="100"/>
      <c r="I70" s="100"/>
    </row>
    <row r="71" spans="1:10" ht="24">
      <c r="A71" s="162">
        <v>103</v>
      </c>
      <c r="B71" s="102" t="s">
        <v>135</v>
      </c>
      <c r="C71" s="102" t="s">
        <v>23</v>
      </c>
      <c r="D71" s="102" t="s">
        <v>622</v>
      </c>
      <c r="E71" s="102">
        <v>60000</v>
      </c>
      <c r="F71" s="102" t="s">
        <v>604</v>
      </c>
      <c r="G71" s="100"/>
      <c r="H71" s="100"/>
      <c r="I71" s="100"/>
    </row>
    <row r="72" spans="1:10" ht="24">
      <c r="A72" s="162">
        <v>104</v>
      </c>
      <c r="B72" s="102" t="s">
        <v>133</v>
      </c>
      <c r="C72" s="102" t="s">
        <v>23</v>
      </c>
      <c r="D72" s="102" t="s">
        <v>624</v>
      </c>
      <c r="E72" s="102">
        <v>48000</v>
      </c>
      <c r="F72" s="102" t="s">
        <v>602</v>
      </c>
      <c r="G72" s="100"/>
      <c r="H72" s="159" t="s">
        <v>129</v>
      </c>
      <c r="I72" s="159" t="s">
        <v>620</v>
      </c>
      <c r="J72" s="159" t="s">
        <v>632</v>
      </c>
    </row>
    <row r="73" spans="1:10" ht="24">
      <c r="A73" s="162">
        <v>105</v>
      </c>
      <c r="B73" s="102" t="s">
        <v>606</v>
      </c>
      <c r="C73" s="102" t="s">
        <v>65</v>
      </c>
      <c r="D73" s="102" t="s">
        <v>622</v>
      </c>
      <c r="E73" s="102">
        <v>55000</v>
      </c>
      <c r="F73" s="102" t="s">
        <v>607</v>
      </c>
      <c r="G73" s="100"/>
      <c r="H73" s="105" t="s">
        <v>623</v>
      </c>
      <c r="I73" s="105" t="s">
        <v>625</v>
      </c>
      <c r="J73">
        <f>COUNTIFS(C68:C82,H73,D68:D82,I73)</f>
        <v>4</v>
      </c>
    </row>
    <row r="74" spans="1:10" ht="24">
      <c r="A74" s="162">
        <v>106</v>
      </c>
      <c r="B74" s="102" t="s">
        <v>608</v>
      </c>
      <c r="C74" s="102" t="s">
        <v>29</v>
      </c>
      <c r="D74" s="102" t="s">
        <v>624</v>
      </c>
      <c r="E74" s="102">
        <v>51000</v>
      </c>
      <c r="F74" s="102" t="s">
        <v>604</v>
      </c>
      <c r="G74" s="100"/>
      <c r="H74" s="100"/>
      <c r="I74" s="100"/>
    </row>
    <row r="75" spans="1:10" ht="24">
      <c r="A75" s="162">
        <v>107</v>
      </c>
      <c r="B75" s="102" t="s">
        <v>609</v>
      </c>
      <c r="C75" s="102" t="s">
        <v>23</v>
      </c>
      <c r="D75" s="102" t="s">
        <v>622</v>
      </c>
      <c r="E75" s="102">
        <v>62000</v>
      </c>
      <c r="F75" s="102" t="s">
        <v>360</v>
      </c>
      <c r="G75" s="100"/>
      <c r="H75" s="100"/>
      <c r="I75" s="100"/>
    </row>
    <row r="76" spans="1:10" ht="24">
      <c r="A76" s="162">
        <v>108</v>
      </c>
      <c r="B76" s="102" t="s">
        <v>612</v>
      </c>
      <c r="C76" s="102" t="s">
        <v>65</v>
      </c>
      <c r="D76" s="102" t="s">
        <v>624</v>
      </c>
      <c r="E76" s="102">
        <v>70000</v>
      </c>
      <c r="F76" s="102" t="s">
        <v>602</v>
      </c>
      <c r="G76" s="100"/>
      <c r="H76" s="100"/>
      <c r="I76" s="100"/>
    </row>
    <row r="77" spans="1:10" ht="24">
      <c r="A77" s="162">
        <v>109</v>
      </c>
      <c r="B77" s="102" t="s">
        <v>131</v>
      </c>
      <c r="C77" s="102" t="s">
        <v>65</v>
      </c>
      <c r="D77" s="102" t="s">
        <v>622</v>
      </c>
      <c r="E77" s="102">
        <v>58000</v>
      </c>
      <c r="F77" s="102" t="s">
        <v>602</v>
      </c>
      <c r="G77" s="100"/>
      <c r="H77" s="100"/>
      <c r="I77" s="100"/>
    </row>
    <row r="78" spans="1:10" ht="24">
      <c r="A78" s="162">
        <v>110</v>
      </c>
      <c r="B78" s="102" t="s">
        <v>615</v>
      </c>
      <c r="C78" s="102" t="s">
        <v>23</v>
      </c>
      <c r="D78" s="102" t="s">
        <v>624</v>
      </c>
      <c r="E78" s="102">
        <v>51000</v>
      </c>
      <c r="F78" s="102" t="s">
        <v>604</v>
      </c>
      <c r="G78" s="100"/>
      <c r="H78" s="100"/>
      <c r="I78" s="100"/>
    </row>
    <row r="79" spans="1:10" ht="24">
      <c r="A79" s="162">
        <v>111</v>
      </c>
      <c r="B79" s="102" t="s">
        <v>627</v>
      </c>
      <c r="C79" s="102" t="s">
        <v>65</v>
      </c>
      <c r="D79" s="102" t="s">
        <v>622</v>
      </c>
      <c r="E79" s="102">
        <v>62000</v>
      </c>
      <c r="F79" s="102" t="s">
        <v>360</v>
      </c>
      <c r="G79" s="100"/>
      <c r="H79" s="100"/>
      <c r="I79" s="100"/>
    </row>
    <row r="80" spans="1:10" ht="24">
      <c r="A80" s="162">
        <v>112</v>
      </c>
      <c r="B80" s="102" t="s">
        <v>628</v>
      </c>
      <c r="C80" s="102" t="s">
        <v>29</v>
      </c>
      <c r="D80" s="102" t="s">
        <v>624</v>
      </c>
      <c r="E80" s="102">
        <v>70000</v>
      </c>
      <c r="F80" s="102" t="s">
        <v>602</v>
      </c>
      <c r="G80" s="100"/>
      <c r="H80" s="100"/>
      <c r="I80" s="100"/>
    </row>
    <row r="81" spans="1:9" ht="24">
      <c r="A81" s="162">
        <v>113</v>
      </c>
      <c r="B81" s="102" t="s">
        <v>629</v>
      </c>
      <c r="C81" s="102" t="s">
        <v>23</v>
      </c>
      <c r="D81" s="102" t="s">
        <v>622</v>
      </c>
      <c r="E81" s="102">
        <v>58000</v>
      </c>
      <c r="F81" s="102" t="s">
        <v>602</v>
      </c>
      <c r="G81" s="100"/>
      <c r="H81" s="100"/>
      <c r="I81" s="100"/>
    </row>
    <row r="82" spans="1:9" ht="24">
      <c r="A82" s="162">
        <v>114</v>
      </c>
      <c r="B82" s="102" t="s">
        <v>630</v>
      </c>
      <c r="C82" s="102" t="s">
        <v>65</v>
      </c>
      <c r="D82" s="102" t="s">
        <v>624</v>
      </c>
      <c r="E82" s="102">
        <v>70000</v>
      </c>
      <c r="F82" s="102" t="s">
        <v>360</v>
      </c>
      <c r="G82" s="100"/>
      <c r="H82" s="100"/>
      <c r="I82" s="100"/>
    </row>
    <row r="85" spans="1:9" ht="24">
      <c r="A85" s="172" t="s">
        <v>633</v>
      </c>
      <c r="B85" s="158"/>
      <c r="C85" s="158"/>
      <c r="D85" s="158"/>
    </row>
    <row r="86" spans="1:9" ht="24">
      <c r="A86" s="171"/>
      <c r="B86" s="157"/>
      <c r="C86" s="157"/>
      <c r="D86" s="157"/>
    </row>
    <row r="87" spans="1:9" ht="24">
      <c r="A87" s="161" t="s">
        <v>634</v>
      </c>
      <c r="B87" s="159" t="s">
        <v>280</v>
      </c>
      <c r="C87" s="159" t="s">
        <v>9</v>
      </c>
      <c r="D87" s="159" t="s">
        <v>635</v>
      </c>
    </row>
    <row r="88" spans="1:9" ht="24">
      <c r="A88" s="162" t="s">
        <v>636</v>
      </c>
      <c r="B88" s="102" t="s">
        <v>637</v>
      </c>
      <c r="C88" s="102">
        <v>4500</v>
      </c>
      <c r="D88" s="102">
        <v>20</v>
      </c>
      <c r="F88" t="s">
        <v>638</v>
      </c>
    </row>
    <row r="89" spans="1:9" ht="29.25">
      <c r="A89" s="162" t="s">
        <v>639</v>
      </c>
      <c r="B89" s="102" t="s">
        <v>640</v>
      </c>
      <c r="C89" s="102">
        <v>15000</v>
      </c>
      <c r="D89" s="102">
        <v>5</v>
      </c>
      <c r="F89" s="20" t="s">
        <v>641</v>
      </c>
    </row>
    <row r="90" spans="1:9" ht="24">
      <c r="A90" s="162" t="s">
        <v>636</v>
      </c>
      <c r="B90" s="102" t="s">
        <v>637</v>
      </c>
      <c r="C90" s="102">
        <v>3000</v>
      </c>
      <c r="D90" s="102">
        <v>18</v>
      </c>
    </row>
    <row r="91" spans="1:9" ht="24">
      <c r="A91" s="162" t="s">
        <v>636</v>
      </c>
      <c r="B91" s="102" t="s">
        <v>637</v>
      </c>
      <c r="C91" s="102">
        <v>1200</v>
      </c>
      <c r="D91" s="102">
        <v>10</v>
      </c>
    </row>
    <row r="92" spans="1:9" ht="24">
      <c r="A92" s="162" t="s">
        <v>642</v>
      </c>
      <c r="B92" s="102" t="s">
        <v>643</v>
      </c>
      <c r="C92" s="102">
        <v>2200</v>
      </c>
      <c r="D92" s="102">
        <v>12</v>
      </c>
    </row>
    <row r="93" spans="1:9" ht="24">
      <c r="A93" s="162" t="s">
        <v>639</v>
      </c>
      <c r="B93" s="102" t="s">
        <v>644</v>
      </c>
      <c r="C93" s="102">
        <v>3500</v>
      </c>
      <c r="D93" s="102">
        <v>15</v>
      </c>
    </row>
    <row r="94" spans="1:9" ht="24">
      <c r="A94" s="162" t="s">
        <v>639</v>
      </c>
      <c r="B94" s="102" t="s">
        <v>645</v>
      </c>
      <c r="C94" s="102">
        <v>2500</v>
      </c>
      <c r="D94" s="102">
        <v>8</v>
      </c>
    </row>
    <row r="95" spans="1:9" ht="24">
      <c r="A95" s="162" t="s">
        <v>636</v>
      </c>
      <c r="B95" s="102" t="s">
        <v>646</v>
      </c>
      <c r="C95" s="102">
        <v>5000</v>
      </c>
      <c r="D95" s="102">
        <v>9</v>
      </c>
    </row>
    <row r="96" spans="1:9" ht="24">
      <c r="A96" s="162" t="s">
        <v>636</v>
      </c>
      <c r="B96" s="102" t="s">
        <v>646</v>
      </c>
      <c r="C96" s="102">
        <v>2700</v>
      </c>
      <c r="D96" s="102">
        <v>17</v>
      </c>
    </row>
    <row r="99" spans="1:10" ht="39.75">
      <c r="A99" s="173"/>
      <c r="B99" s="174" t="s">
        <v>647</v>
      </c>
      <c r="C99" s="175"/>
      <c r="D99" s="175"/>
      <c r="E99" s="175"/>
      <c r="F99" s="175"/>
      <c r="G99" s="175"/>
      <c r="H99" s="175"/>
      <c r="I99" s="175"/>
      <c r="J99" s="176"/>
    </row>
    <row r="100" spans="1:10" ht="21">
      <c r="A100" s="173"/>
      <c r="B100" s="177"/>
      <c r="C100" s="173"/>
      <c r="D100" s="173"/>
      <c r="E100" s="173"/>
      <c r="F100" s="173"/>
      <c r="G100" s="173"/>
      <c r="H100" s="173"/>
      <c r="I100" s="173"/>
      <c r="J100" s="177"/>
    </row>
    <row r="101" spans="1:10" ht="21">
      <c r="A101" s="178"/>
      <c r="B101" s="179" t="s">
        <v>61</v>
      </c>
      <c r="C101" s="180" t="s">
        <v>648</v>
      </c>
      <c r="D101" s="180" t="s">
        <v>649</v>
      </c>
      <c r="E101" s="180" t="s">
        <v>650</v>
      </c>
      <c r="F101" s="178"/>
      <c r="G101" s="181" t="s">
        <v>342</v>
      </c>
      <c r="H101" s="178"/>
      <c r="I101" s="178"/>
      <c r="J101" s="182"/>
    </row>
    <row r="102" spans="1:10" ht="21">
      <c r="A102" s="178"/>
      <c r="B102" s="183">
        <v>1</v>
      </c>
      <c r="C102" s="184" t="s">
        <v>131</v>
      </c>
      <c r="D102" s="184" t="s">
        <v>651</v>
      </c>
      <c r="E102" s="184" t="s">
        <v>652</v>
      </c>
      <c r="F102" s="178"/>
      <c r="G102" s="130" t="str">
        <f>_xlfn.TEXTJOIN("_",TRUE,C102:E102)</f>
        <v>Rahul_Kumar_Singh</v>
      </c>
      <c r="H102" s="178" t="str" cm="1">
        <f t="array" ref="H102:J102">_xlfn.TEXTSPLIT(G102,"_","_")</f>
        <v>Rahul</v>
      </c>
      <c r="I102" s="178" t="str">
        <v>Kumar</v>
      </c>
      <c r="J102" s="182" t="str">
        <v>Singh</v>
      </c>
    </row>
    <row r="103" spans="1:10" ht="21">
      <c r="A103" s="178"/>
      <c r="B103" s="183">
        <v>2</v>
      </c>
      <c r="C103" s="184" t="s">
        <v>603</v>
      </c>
      <c r="D103" s="184" t="s">
        <v>653</v>
      </c>
      <c r="E103" s="185"/>
      <c r="F103" s="178"/>
      <c r="G103" s="130" t="str">
        <f t="shared" ref="G103:G109" si="0">_xlfn.TEXTJOIN("_",TRUE,C103:E103)</f>
        <v>Priya_Devi</v>
      </c>
      <c r="H103" s="178" t="e" vm="2">
        <f>_xleta.TEXT</f>
        <v>#VALUE!</v>
      </c>
      <c r="I103" s="178"/>
      <c r="J103" s="182"/>
    </row>
    <row r="104" spans="1:10" ht="21">
      <c r="A104" s="178"/>
      <c r="B104" s="183">
        <v>3</v>
      </c>
      <c r="C104" s="184" t="s">
        <v>135</v>
      </c>
      <c r="D104" s="185"/>
      <c r="E104" s="184" t="s">
        <v>654</v>
      </c>
      <c r="F104" s="178"/>
      <c r="G104" s="130" t="str">
        <f t="shared" si="0"/>
        <v>Aman_Yadav</v>
      </c>
      <c r="H104" s="178"/>
      <c r="I104" s="178"/>
      <c r="J104" s="182"/>
    </row>
    <row r="105" spans="1:10" ht="21">
      <c r="A105" s="178"/>
      <c r="B105" s="183">
        <v>4</v>
      </c>
      <c r="C105" s="184" t="s">
        <v>133</v>
      </c>
      <c r="D105" s="184" t="s">
        <v>655</v>
      </c>
      <c r="E105" s="184" t="s">
        <v>656</v>
      </c>
      <c r="F105" s="178"/>
      <c r="G105" s="130" t="str">
        <f t="shared" si="0"/>
        <v>Neha_Rani_Verma</v>
      </c>
      <c r="H105" s="178"/>
      <c r="I105" s="178" t="str">
        <f ca="1">_xlfn.FORMULATEXT(H102)</f>
        <v>=TEXTSPLIT(G102,"_","_")</v>
      </c>
      <c r="J105" s="182"/>
    </row>
    <row r="106" spans="1:10" ht="21">
      <c r="A106" s="178"/>
      <c r="B106" s="183">
        <v>5</v>
      </c>
      <c r="C106" s="184" t="s">
        <v>601</v>
      </c>
      <c r="D106" s="185"/>
      <c r="E106" s="184" t="s">
        <v>657</v>
      </c>
      <c r="F106" s="178"/>
      <c r="G106" s="130" t="str">
        <f t="shared" si="0"/>
        <v>Rohan_Mehta</v>
      </c>
      <c r="H106" s="178"/>
      <c r="I106" s="178"/>
      <c r="J106" s="182"/>
    </row>
    <row r="107" spans="1:10" ht="21">
      <c r="A107" s="178"/>
      <c r="B107" s="183">
        <v>6</v>
      </c>
      <c r="C107" s="184" t="s">
        <v>658</v>
      </c>
      <c r="D107" s="184" t="s">
        <v>659</v>
      </c>
      <c r="E107" s="184" t="s">
        <v>660</v>
      </c>
      <c r="F107" s="178"/>
      <c r="G107" s="130" t="str">
        <f t="shared" si="0"/>
        <v>Meera_Kaur_Gill</v>
      </c>
      <c r="H107" s="178"/>
      <c r="I107" s="178"/>
      <c r="J107" s="182"/>
    </row>
    <row r="108" spans="1:10" ht="21">
      <c r="A108" s="178"/>
      <c r="B108" s="183">
        <v>7</v>
      </c>
      <c r="C108" s="184" t="s">
        <v>661</v>
      </c>
      <c r="D108" s="184" t="s">
        <v>662</v>
      </c>
      <c r="E108" s="185"/>
      <c r="F108" s="178"/>
      <c r="G108" s="130" t="str">
        <f t="shared" si="0"/>
        <v>Sohan_Raj</v>
      </c>
      <c r="H108" s="178"/>
      <c r="I108" s="178"/>
      <c r="J108" s="182"/>
    </row>
    <row r="109" spans="1:10" ht="21">
      <c r="A109" s="178"/>
      <c r="B109" s="183">
        <v>8</v>
      </c>
      <c r="C109" s="184" t="s">
        <v>663</v>
      </c>
      <c r="D109" s="184" t="s">
        <v>651</v>
      </c>
      <c r="E109" s="184" t="s">
        <v>664</v>
      </c>
      <c r="F109" s="178"/>
      <c r="G109" s="130" t="str">
        <f t="shared" si="0"/>
        <v>Ankit_Kumar_Gupta</v>
      </c>
      <c r="H109" s="178"/>
      <c r="I109" s="178"/>
      <c r="J109" s="182"/>
    </row>
    <row r="110" spans="1:10" ht="21">
      <c r="A110" s="178"/>
      <c r="B110" s="182"/>
      <c r="C110" s="178"/>
      <c r="D110" s="178"/>
      <c r="E110" s="178"/>
      <c r="F110" s="178"/>
      <c r="G110" s="178"/>
      <c r="H110" s="178"/>
      <c r="I110" s="178"/>
      <c r="J110" s="182"/>
    </row>
    <row r="111" spans="1:10" ht="21">
      <c r="A111" s="178"/>
      <c r="B111" s="182"/>
      <c r="C111" s="178"/>
      <c r="D111" s="178"/>
      <c r="E111" s="178"/>
      <c r="F111" s="178"/>
      <c r="G111" s="178"/>
      <c r="H111" s="178"/>
      <c r="I111" s="178"/>
      <c r="J111" s="182"/>
    </row>
    <row r="112" spans="1:10" ht="21">
      <c r="A112" s="178"/>
      <c r="B112" s="182"/>
      <c r="C112" s="178"/>
      <c r="D112" s="178"/>
      <c r="E112" s="178"/>
      <c r="F112" s="178"/>
      <c r="G112" s="178"/>
      <c r="H112" s="178"/>
      <c r="I112" s="178"/>
      <c r="J112" s="182"/>
    </row>
    <row r="113" spans="1:10" ht="21">
      <c r="A113" s="178"/>
      <c r="B113" s="182"/>
      <c r="C113" s="178"/>
      <c r="D113" s="178"/>
      <c r="E113" s="178"/>
      <c r="F113" s="178"/>
      <c r="G113" s="178"/>
      <c r="H113" s="178"/>
      <c r="I113" s="178"/>
      <c r="J113" s="182"/>
    </row>
    <row r="114" spans="1:10" ht="21">
      <c r="A114" s="178"/>
      <c r="B114" s="182"/>
      <c r="C114" s="178"/>
      <c r="D114" s="178"/>
      <c r="E114" s="178"/>
      <c r="F114" s="178"/>
      <c r="G114" s="178"/>
      <c r="H114" s="178"/>
      <c r="I114" s="178"/>
      <c r="J114" s="182"/>
    </row>
    <row r="115" spans="1:10" ht="39.75">
      <c r="A115" s="174" t="s">
        <v>665</v>
      </c>
      <c r="B115" s="182"/>
      <c r="C115" s="178"/>
      <c r="D115" s="178"/>
      <c r="E115" s="178"/>
      <c r="F115" s="178"/>
      <c r="G115" s="178"/>
      <c r="H115" s="178"/>
      <c r="I115" s="178"/>
      <c r="J115" s="182"/>
    </row>
    <row r="116" spans="1:10" ht="21">
      <c r="A116" s="178"/>
      <c r="B116" s="182"/>
      <c r="C116" s="178"/>
      <c r="D116" s="178"/>
      <c r="E116" s="178"/>
      <c r="F116" s="178"/>
      <c r="G116" s="178"/>
      <c r="H116" s="178"/>
      <c r="I116" s="178"/>
      <c r="J116" s="182"/>
    </row>
    <row r="117" spans="1:10" ht="21">
      <c r="A117" s="179" t="s">
        <v>61</v>
      </c>
      <c r="B117" s="180" t="s">
        <v>128</v>
      </c>
      <c r="C117" s="180" t="s">
        <v>129</v>
      </c>
      <c r="D117" s="180" t="s">
        <v>6</v>
      </c>
      <c r="E117" s="180" t="s">
        <v>666</v>
      </c>
      <c r="F117" s="180" t="s">
        <v>667</v>
      </c>
      <c r="H117" s="178"/>
      <c r="I117" s="178"/>
      <c r="J117" s="182"/>
    </row>
    <row r="118" spans="1:10" ht="21">
      <c r="A118" s="183">
        <v>101</v>
      </c>
      <c r="B118" s="184" t="s">
        <v>131</v>
      </c>
      <c r="C118" s="184" t="s">
        <v>9</v>
      </c>
      <c r="D118" s="184">
        <v>35000</v>
      </c>
      <c r="E118" s="184" t="s">
        <v>668</v>
      </c>
      <c r="F118" s="186">
        <v>44239</v>
      </c>
      <c r="H118" s="178"/>
      <c r="I118" s="178"/>
      <c r="J118" s="182"/>
    </row>
    <row r="119" spans="1:10" ht="21">
      <c r="A119" s="183">
        <v>102</v>
      </c>
      <c r="B119" s="184" t="s">
        <v>669</v>
      </c>
      <c r="C119" s="184" t="s">
        <v>29</v>
      </c>
      <c r="D119" s="184">
        <v>42000</v>
      </c>
      <c r="E119" s="184" t="s">
        <v>668</v>
      </c>
      <c r="F119" s="186">
        <v>43987</v>
      </c>
      <c r="H119" s="180" t="s">
        <v>129</v>
      </c>
      <c r="I119" s="187" t="s">
        <v>328</v>
      </c>
      <c r="J119" s="182"/>
    </row>
    <row r="120" spans="1:10" ht="21">
      <c r="A120" s="183">
        <v>103</v>
      </c>
      <c r="B120" s="184" t="s">
        <v>135</v>
      </c>
      <c r="C120" s="184" t="s">
        <v>65</v>
      </c>
      <c r="D120" s="184">
        <v>55000</v>
      </c>
      <c r="E120" s="184" t="s">
        <v>670</v>
      </c>
      <c r="F120" s="186">
        <v>43726</v>
      </c>
      <c r="H120" s="130" t="s">
        <v>65</v>
      </c>
      <c r="I120" s="188" t="str" cm="1">
        <f t="array" ref="I120">_xlfn.TEXTJOIN(",",TRUE,_xlfn._xlws.FILTER(B117:B129,C117:C129=H120))</f>
        <v>Aman,Rohan,Amit Kumar,Tinku</v>
      </c>
      <c r="J120" s="182" t="str">
        <f ca="1">_xlfn.FORMULATEXT(I120)</f>
        <v>=TEXTJOIN(",",TRUE,FILTER(B117:B129,C117:C129=H120))</v>
      </c>
    </row>
    <row r="121" spans="1:10" ht="21">
      <c r="A121" s="183">
        <v>104</v>
      </c>
      <c r="B121" s="184" t="s">
        <v>133</v>
      </c>
      <c r="C121" s="184" t="s">
        <v>12</v>
      </c>
      <c r="D121" s="184">
        <v>47000</v>
      </c>
      <c r="E121" s="184" t="s">
        <v>668</v>
      </c>
      <c r="F121" s="186">
        <v>44890</v>
      </c>
      <c r="H121" s="178"/>
    </row>
    <row r="122" spans="1:10" ht="21">
      <c r="A122" s="183">
        <v>105</v>
      </c>
      <c r="B122" s="184" t="s">
        <v>601</v>
      </c>
      <c r="C122" s="184" t="s">
        <v>65</v>
      </c>
      <c r="D122" s="184">
        <v>52000</v>
      </c>
      <c r="E122" s="184" t="s">
        <v>668</v>
      </c>
      <c r="F122" s="186">
        <v>44995</v>
      </c>
      <c r="H122" s="178"/>
    </row>
    <row r="123" spans="1:10" ht="21">
      <c r="A123" s="183">
        <v>106</v>
      </c>
      <c r="B123" s="184" t="s">
        <v>658</v>
      </c>
      <c r="C123" s="184" t="s">
        <v>9</v>
      </c>
      <c r="D123" s="184">
        <v>38000</v>
      </c>
      <c r="E123" s="184" t="s">
        <v>670</v>
      </c>
      <c r="F123" s="186">
        <v>43845</v>
      </c>
      <c r="H123" s="178"/>
      <c r="I123" s="178"/>
      <c r="J123" s="182"/>
    </row>
    <row r="124" spans="1:10" ht="21">
      <c r="A124" s="183">
        <v>107</v>
      </c>
      <c r="B124" s="184" t="s">
        <v>661</v>
      </c>
      <c r="C124" s="184" t="s">
        <v>29</v>
      </c>
      <c r="D124" s="184">
        <v>41000</v>
      </c>
      <c r="E124" s="184" t="s">
        <v>668</v>
      </c>
      <c r="F124" s="186">
        <v>44397</v>
      </c>
      <c r="H124" s="178"/>
      <c r="I124" s="178"/>
      <c r="J124" s="182"/>
    </row>
    <row r="125" spans="1:10" ht="21">
      <c r="A125" s="183">
        <v>108</v>
      </c>
      <c r="B125" s="184" t="s">
        <v>671</v>
      </c>
      <c r="C125" s="184" t="s">
        <v>65</v>
      </c>
      <c r="D125" s="184">
        <v>55000</v>
      </c>
      <c r="E125" s="184" t="s">
        <v>670</v>
      </c>
      <c r="F125" s="186">
        <v>43726</v>
      </c>
      <c r="H125" s="178"/>
      <c r="I125" s="178"/>
      <c r="J125" s="182"/>
    </row>
    <row r="126" spans="1:10" ht="21">
      <c r="A126" s="183">
        <v>109</v>
      </c>
      <c r="B126" s="184" t="s">
        <v>627</v>
      </c>
      <c r="C126" s="184" t="s">
        <v>12</v>
      </c>
      <c r="D126" s="184">
        <v>47000</v>
      </c>
      <c r="E126" s="184" t="s">
        <v>668</v>
      </c>
      <c r="F126" s="186">
        <v>44890</v>
      </c>
      <c r="H126" s="178"/>
      <c r="I126" s="178"/>
      <c r="J126" s="182"/>
    </row>
    <row r="127" spans="1:10" ht="21">
      <c r="A127" s="183">
        <v>110</v>
      </c>
      <c r="B127" s="184" t="s">
        <v>628</v>
      </c>
      <c r="C127" s="184" t="s">
        <v>65</v>
      </c>
      <c r="D127" s="184">
        <v>52000</v>
      </c>
      <c r="E127" s="184" t="s">
        <v>668</v>
      </c>
      <c r="F127" s="186">
        <v>44995</v>
      </c>
      <c r="H127" s="178"/>
      <c r="I127" s="178"/>
      <c r="J127" s="182"/>
    </row>
    <row r="128" spans="1:10" ht="21">
      <c r="A128" s="183">
        <v>111</v>
      </c>
      <c r="B128" s="184" t="s">
        <v>672</v>
      </c>
      <c r="C128" s="184" t="s">
        <v>9</v>
      </c>
      <c r="D128" s="184">
        <v>38000</v>
      </c>
      <c r="E128" s="184" t="s">
        <v>670</v>
      </c>
      <c r="F128" s="186">
        <v>43845</v>
      </c>
      <c r="H128" s="178"/>
      <c r="I128" s="178"/>
      <c r="J128" s="182"/>
    </row>
    <row r="129" spans="1:12" ht="21">
      <c r="A129" s="183">
        <v>112</v>
      </c>
      <c r="B129" s="184" t="s">
        <v>673</v>
      </c>
      <c r="C129" s="184" t="s">
        <v>29</v>
      </c>
      <c r="D129" s="184">
        <v>41000</v>
      </c>
      <c r="E129" s="184" t="s">
        <v>668</v>
      </c>
      <c r="F129" s="186">
        <v>44397</v>
      </c>
      <c r="H129" s="178"/>
      <c r="I129" s="178"/>
      <c r="J129" s="182"/>
    </row>
    <row r="132" spans="1:12" ht="60">
      <c r="A132" s="174" t="s">
        <v>674</v>
      </c>
      <c r="B132" s="174"/>
      <c r="C132" s="175"/>
      <c r="D132" s="175"/>
      <c r="E132" s="175"/>
      <c r="F132" s="175"/>
      <c r="G132" s="175"/>
      <c r="H132" s="175"/>
      <c r="I132" s="175"/>
      <c r="J132" s="176"/>
      <c r="K132" s="175"/>
      <c r="L132" s="175"/>
    </row>
    <row r="133" spans="1:12" ht="21">
      <c r="A133" s="178"/>
      <c r="B133" s="182"/>
      <c r="C133" s="178"/>
      <c r="D133" s="178"/>
      <c r="E133" s="178"/>
      <c r="F133" s="178"/>
      <c r="G133" s="178"/>
      <c r="H133" s="178"/>
      <c r="I133" s="178"/>
      <c r="J133" s="182"/>
      <c r="K133" s="178"/>
      <c r="L133" s="178"/>
    </row>
    <row r="134" spans="1:12" ht="21">
      <c r="A134" s="178"/>
      <c r="B134" s="179" t="s">
        <v>1</v>
      </c>
      <c r="C134" s="180" t="s">
        <v>2</v>
      </c>
      <c r="D134" s="180" t="s">
        <v>129</v>
      </c>
      <c r="E134" s="180" t="s">
        <v>6</v>
      </c>
      <c r="F134" s="180" t="s">
        <v>600</v>
      </c>
      <c r="G134" s="178"/>
      <c r="H134" s="180" t="s">
        <v>2</v>
      </c>
      <c r="I134" s="180" t="s">
        <v>6</v>
      </c>
      <c r="J134" s="182"/>
      <c r="K134" s="178"/>
      <c r="L134" s="178"/>
    </row>
    <row r="135" spans="1:12" ht="21">
      <c r="A135" s="178"/>
      <c r="B135" s="183">
        <v>101</v>
      </c>
      <c r="C135" s="184" t="s">
        <v>601</v>
      </c>
      <c r="D135" s="184" t="s">
        <v>65</v>
      </c>
      <c r="E135" s="184">
        <v>45000</v>
      </c>
      <c r="F135" s="184" t="s">
        <v>602</v>
      </c>
      <c r="G135" s="178"/>
      <c r="H135" s="184" t="s">
        <v>131</v>
      </c>
      <c r="I135" s="184">
        <v>58000</v>
      </c>
      <c r="J135" s="189" t="s">
        <v>675</v>
      </c>
      <c r="K135" s="178"/>
      <c r="L135" s="178"/>
    </row>
    <row r="136" spans="1:12" ht="21">
      <c r="A136" s="178"/>
      <c r="B136" s="183">
        <v>102</v>
      </c>
      <c r="C136" s="184" t="s">
        <v>603</v>
      </c>
      <c r="D136" s="184" t="s">
        <v>29</v>
      </c>
      <c r="E136" s="184">
        <v>52000</v>
      </c>
      <c r="F136" s="184" t="s">
        <v>360</v>
      </c>
      <c r="G136" s="178"/>
      <c r="H136" s="178"/>
      <c r="I136" s="178"/>
      <c r="J136" s="182"/>
      <c r="K136" s="178"/>
      <c r="L136" s="178"/>
    </row>
    <row r="137" spans="1:12" ht="21">
      <c r="A137" s="178"/>
      <c r="B137" s="183">
        <v>103</v>
      </c>
      <c r="C137" s="184" t="s">
        <v>135</v>
      </c>
      <c r="D137" s="184" t="s">
        <v>23</v>
      </c>
      <c r="E137" s="184">
        <v>60000</v>
      </c>
      <c r="F137" s="184" t="s">
        <v>604</v>
      </c>
      <c r="G137" s="178"/>
      <c r="H137" s="178"/>
      <c r="I137" s="178"/>
      <c r="J137" s="182"/>
      <c r="K137" s="178"/>
      <c r="L137" s="178"/>
    </row>
    <row r="138" spans="1:12" ht="21">
      <c r="A138" s="178"/>
      <c r="B138" s="183">
        <v>104</v>
      </c>
      <c r="C138" s="184" t="s">
        <v>133</v>
      </c>
      <c r="D138" s="184" t="s">
        <v>23</v>
      </c>
      <c r="E138" s="184">
        <v>48000</v>
      </c>
      <c r="F138" s="184" t="s">
        <v>602</v>
      </c>
      <c r="G138" s="178"/>
      <c r="H138" s="180" t="s">
        <v>2</v>
      </c>
      <c r="I138" s="180" t="s">
        <v>6</v>
      </c>
      <c r="J138" s="182"/>
      <c r="K138" s="178"/>
      <c r="L138" s="178"/>
    </row>
    <row r="139" spans="1:12" ht="21">
      <c r="A139" s="178"/>
      <c r="B139" s="183">
        <v>105</v>
      </c>
      <c r="C139" s="184" t="s">
        <v>606</v>
      </c>
      <c r="D139" s="184" t="s">
        <v>65</v>
      </c>
      <c r="E139" s="184">
        <v>55000</v>
      </c>
      <c r="F139" s="184" t="s">
        <v>607</v>
      </c>
      <c r="G139" s="178"/>
      <c r="H139" s="184" t="s">
        <v>623</v>
      </c>
      <c r="I139" s="184">
        <v>228000</v>
      </c>
      <c r="J139" s="189" t="s">
        <v>676</v>
      </c>
      <c r="K139" s="178"/>
      <c r="L139" s="178"/>
    </row>
    <row r="140" spans="1:12" ht="21">
      <c r="A140" s="178"/>
      <c r="B140" s="183">
        <v>106</v>
      </c>
      <c r="C140" s="184" t="s">
        <v>608</v>
      </c>
      <c r="D140" s="184" t="s">
        <v>29</v>
      </c>
      <c r="E140" s="184">
        <v>51000</v>
      </c>
      <c r="F140" s="184" t="s">
        <v>604</v>
      </c>
      <c r="G140" s="178"/>
      <c r="H140" s="178"/>
      <c r="I140" s="178"/>
      <c r="J140" s="182"/>
      <c r="K140" s="178"/>
      <c r="L140" s="178"/>
    </row>
    <row r="141" spans="1:12" ht="21">
      <c r="A141" s="178"/>
      <c r="B141" s="183">
        <v>107</v>
      </c>
      <c r="C141" s="184" t="s">
        <v>609</v>
      </c>
      <c r="D141" s="184" t="s">
        <v>23</v>
      </c>
      <c r="E141" s="184">
        <v>62000</v>
      </c>
      <c r="F141" s="184" t="s">
        <v>360</v>
      </c>
      <c r="G141" s="178"/>
      <c r="H141" s="178"/>
      <c r="I141" s="178"/>
      <c r="J141" s="182"/>
      <c r="K141" s="178"/>
      <c r="L141" s="178"/>
    </row>
    <row r="142" spans="1:12" ht="21">
      <c r="A142" s="178"/>
      <c r="B142" s="183">
        <v>108</v>
      </c>
      <c r="C142" s="184" t="s">
        <v>612</v>
      </c>
      <c r="D142" s="184" t="s">
        <v>65</v>
      </c>
      <c r="E142" s="184">
        <v>70000</v>
      </c>
      <c r="F142" s="184" t="s">
        <v>613</v>
      </c>
      <c r="G142" s="178"/>
      <c r="H142" s="178"/>
      <c r="I142" s="178"/>
      <c r="J142" s="182"/>
      <c r="K142" s="178"/>
      <c r="L142" s="178"/>
    </row>
    <row r="143" spans="1:12" ht="21">
      <c r="A143" s="178"/>
      <c r="B143" s="183">
        <v>109</v>
      </c>
      <c r="C143" s="184" t="s">
        <v>131</v>
      </c>
      <c r="D143" s="184" t="s">
        <v>65</v>
      </c>
      <c r="E143" s="184">
        <v>58000</v>
      </c>
      <c r="F143" s="184" t="s">
        <v>602</v>
      </c>
      <c r="G143" s="178"/>
      <c r="H143" s="178"/>
      <c r="I143" s="130" t="s">
        <v>677</v>
      </c>
      <c r="J143" s="182"/>
      <c r="K143" s="178"/>
      <c r="L143" s="178"/>
    </row>
    <row r="144" spans="1:12" ht="21">
      <c r="A144" s="178"/>
      <c r="B144" s="183">
        <v>110</v>
      </c>
      <c r="C144" s="184" t="s">
        <v>615</v>
      </c>
      <c r="D144" s="184" t="s">
        <v>23</v>
      </c>
      <c r="E144" s="184">
        <v>47000</v>
      </c>
      <c r="F144" s="184" t="s">
        <v>360</v>
      </c>
      <c r="G144" s="178"/>
      <c r="H144" s="178"/>
      <c r="I144" s="178"/>
      <c r="J144" s="182"/>
      <c r="K144" s="178"/>
      <c r="L144" s="178"/>
    </row>
    <row r="147" spans="1:12" ht="39.75">
      <c r="A147" s="173"/>
      <c r="B147" s="174" t="s">
        <v>678</v>
      </c>
      <c r="C147" s="175"/>
      <c r="D147" s="175"/>
      <c r="E147" s="175"/>
      <c r="F147" s="175"/>
      <c r="G147" s="175"/>
      <c r="H147" s="176"/>
      <c r="I147" s="175"/>
      <c r="J147" s="175"/>
      <c r="K147" s="175"/>
      <c r="L147" s="175"/>
    </row>
    <row r="148" spans="1:12" ht="21">
      <c r="A148" s="178"/>
      <c r="B148" s="182"/>
      <c r="C148" s="178"/>
      <c r="D148" s="178"/>
      <c r="E148" s="178"/>
      <c r="F148" s="178"/>
      <c r="G148" s="178"/>
      <c r="H148" s="182"/>
      <c r="I148" s="178"/>
      <c r="J148" s="178"/>
      <c r="K148" s="178"/>
      <c r="L148" s="178"/>
    </row>
    <row r="149" spans="1:12" ht="39.75">
      <c r="A149" s="178"/>
      <c r="B149" s="179" t="s">
        <v>1</v>
      </c>
      <c r="C149" s="180" t="s">
        <v>2</v>
      </c>
      <c r="D149" s="180" t="s">
        <v>129</v>
      </c>
      <c r="E149" s="180" t="s">
        <v>6</v>
      </c>
      <c r="F149" s="180" t="s">
        <v>600</v>
      </c>
      <c r="G149" s="178"/>
      <c r="H149" s="190" t="s">
        <v>679</v>
      </c>
      <c r="I149" s="178"/>
      <c r="J149" s="178"/>
      <c r="K149" s="178"/>
      <c r="L149" s="178"/>
    </row>
    <row r="150" spans="1:12" ht="21">
      <c r="A150" s="178"/>
      <c r="B150" s="183">
        <v>101</v>
      </c>
      <c r="C150" s="184" t="s">
        <v>601</v>
      </c>
      <c r="D150" s="184" t="s">
        <v>65</v>
      </c>
      <c r="E150" s="184">
        <v>45000</v>
      </c>
      <c r="F150" s="184" t="s">
        <v>602</v>
      </c>
      <c r="G150" s="178"/>
      <c r="H150" s="182"/>
      <c r="I150" s="178"/>
      <c r="J150" s="178"/>
      <c r="K150" s="178"/>
      <c r="L150" s="178"/>
    </row>
    <row r="151" spans="1:12" ht="21">
      <c r="A151" s="178"/>
      <c r="B151" s="183">
        <v>102</v>
      </c>
      <c r="C151" s="184" t="s">
        <v>603</v>
      </c>
      <c r="D151" s="184" t="s">
        <v>29</v>
      </c>
      <c r="E151" s="184">
        <v>52000</v>
      </c>
      <c r="F151" s="184" t="s">
        <v>360</v>
      </c>
      <c r="G151" s="178"/>
      <c r="H151" s="188" t="s">
        <v>29</v>
      </c>
      <c r="I151" s="178"/>
      <c r="J151" s="178"/>
      <c r="K151" s="178"/>
      <c r="L151" s="178"/>
    </row>
    <row r="152" spans="1:12" ht="21">
      <c r="A152" s="178"/>
      <c r="B152" s="183">
        <v>103</v>
      </c>
      <c r="C152" s="184" t="s">
        <v>135</v>
      </c>
      <c r="D152" s="184" t="s">
        <v>23</v>
      </c>
      <c r="E152" s="184">
        <v>60000</v>
      </c>
      <c r="F152" s="184" t="s">
        <v>604</v>
      </c>
      <c r="G152" s="178"/>
      <c r="H152" s="182"/>
      <c r="I152" s="178"/>
      <c r="J152" s="178"/>
      <c r="K152" s="178"/>
      <c r="L152" s="178"/>
    </row>
    <row r="153" spans="1:12" ht="21">
      <c r="A153" s="178"/>
      <c r="B153" s="183">
        <v>104</v>
      </c>
      <c r="C153" s="184" t="s">
        <v>133</v>
      </c>
      <c r="D153" s="184" t="s">
        <v>23</v>
      </c>
      <c r="E153" s="184">
        <v>48000</v>
      </c>
      <c r="F153" s="184" t="s">
        <v>602</v>
      </c>
      <c r="G153" s="178"/>
      <c r="H153" s="179" t="s">
        <v>1</v>
      </c>
      <c r="I153" s="180" t="s">
        <v>2</v>
      </c>
      <c r="J153" s="180" t="s">
        <v>129</v>
      </c>
      <c r="K153" s="180" t="s">
        <v>6</v>
      </c>
      <c r="L153" s="180" t="s">
        <v>600</v>
      </c>
    </row>
    <row r="154" spans="1:12" ht="21">
      <c r="A154" s="178"/>
      <c r="B154" s="183">
        <v>105</v>
      </c>
      <c r="C154" s="184" t="s">
        <v>606</v>
      </c>
      <c r="D154" s="184" t="s">
        <v>65</v>
      </c>
      <c r="E154" s="184">
        <v>55000</v>
      </c>
      <c r="F154" s="184" t="s">
        <v>607</v>
      </c>
      <c r="G154" s="178"/>
      <c r="H154" s="188" cm="1">
        <f t="array" ref="H154:L156">_xlfn._xlws.FILTER(B149:F163,D149:D163=H151)</f>
        <v>102</v>
      </c>
      <c r="I154" s="130" t="str">
        <v>Priya</v>
      </c>
      <c r="J154" s="130" t="str">
        <v>HR</v>
      </c>
      <c r="K154" s="130">
        <v>52000</v>
      </c>
      <c r="L154" s="130" t="str">
        <v>Delhi</v>
      </c>
    </row>
    <row r="155" spans="1:12" ht="21">
      <c r="A155" s="178"/>
      <c r="B155" s="183">
        <v>106</v>
      </c>
      <c r="C155" s="184" t="s">
        <v>608</v>
      </c>
      <c r="D155" s="184" t="s">
        <v>29</v>
      </c>
      <c r="E155" s="184">
        <v>51000</v>
      </c>
      <c r="F155" s="184" t="s">
        <v>604</v>
      </c>
      <c r="G155" s="178"/>
      <c r="H155" s="188">
        <v>106</v>
      </c>
      <c r="I155" s="130" t="str">
        <v>Sheetal</v>
      </c>
      <c r="J155" s="130" t="str">
        <v>HR</v>
      </c>
      <c r="K155" s="130">
        <v>51000</v>
      </c>
      <c r="L155" s="130" t="str">
        <v>Pune</v>
      </c>
    </row>
    <row r="156" spans="1:12" ht="21">
      <c r="A156" s="178"/>
      <c r="B156" s="183">
        <v>107</v>
      </c>
      <c r="C156" s="184" t="s">
        <v>609</v>
      </c>
      <c r="D156" s="184" t="s">
        <v>23</v>
      </c>
      <c r="E156" s="184">
        <v>62000</v>
      </c>
      <c r="F156" s="184" t="s">
        <v>360</v>
      </c>
      <c r="G156" s="178"/>
      <c r="H156" s="188">
        <v>112</v>
      </c>
      <c r="I156" s="130" t="str">
        <v>Tinku</v>
      </c>
      <c r="J156" s="130" t="str">
        <v>HR</v>
      </c>
      <c r="K156" s="130">
        <v>70000</v>
      </c>
      <c r="L156" s="130" t="str">
        <v>Mumbai</v>
      </c>
    </row>
    <row r="157" spans="1:12" ht="21">
      <c r="A157" s="178"/>
      <c r="B157" s="183">
        <v>108</v>
      </c>
      <c r="C157" s="184" t="s">
        <v>612</v>
      </c>
      <c r="D157" s="184" t="s">
        <v>65</v>
      </c>
      <c r="E157" s="184">
        <v>70000</v>
      </c>
      <c r="F157" s="184" t="s">
        <v>602</v>
      </c>
      <c r="G157" s="178"/>
      <c r="H157" s="182"/>
      <c r="I157" s="178"/>
      <c r="J157" s="178"/>
      <c r="K157" s="178"/>
      <c r="L157" s="178"/>
    </row>
    <row r="158" spans="1:12" ht="21">
      <c r="A158" s="178"/>
      <c r="B158" s="183">
        <v>109</v>
      </c>
      <c r="C158" s="184" t="s">
        <v>131</v>
      </c>
      <c r="D158" s="184" t="s">
        <v>65</v>
      </c>
      <c r="E158" s="184">
        <v>58000</v>
      </c>
      <c r="F158" s="184" t="s">
        <v>602</v>
      </c>
      <c r="G158" s="178"/>
      <c r="H158" s="182"/>
      <c r="I158" s="178"/>
      <c r="J158" s="178"/>
      <c r="K158" s="178"/>
      <c r="L158" s="178"/>
    </row>
    <row r="159" spans="1:12" ht="21">
      <c r="A159" s="178"/>
      <c r="B159" s="183">
        <v>110</v>
      </c>
      <c r="C159" s="184" t="s">
        <v>615</v>
      </c>
      <c r="D159" s="184" t="s">
        <v>23</v>
      </c>
      <c r="E159" s="184">
        <v>51000</v>
      </c>
      <c r="F159" s="184" t="s">
        <v>604</v>
      </c>
      <c r="G159" s="178"/>
      <c r="H159" s="182"/>
      <c r="I159" s="178"/>
      <c r="J159" s="178"/>
      <c r="K159" s="178"/>
      <c r="L159" s="178"/>
    </row>
    <row r="160" spans="1:12" ht="21">
      <c r="A160" s="178"/>
      <c r="B160" s="183">
        <v>111</v>
      </c>
      <c r="C160" s="184" t="s">
        <v>627</v>
      </c>
      <c r="D160" s="184" t="s">
        <v>65</v>
      </c>
      <c r="E160" s="184">
        <v>62000</v>
      </c>
      <c r="F160" s="184" t="s">
        <v>360</v>
      </c>
      <c r="G160" s="178"/>
      <c r="H160" s="182"/>
      <c r="I160" s="178"/>
      <c r="J160" s="178"/>
      <c r="K160" s="178"/>
      <c r="L160" s="178"/>
    </row>
    <row r="161" spans="1:12" ht="21">
      <c r="A161" s="178"/>
      <c r="B161" s="183">
        <v>112</v>
      </c>
      <c r="C161" s="184" t="s">
        <v>628</v>
      </c>
      <c r="D161" s="184" t="s">
        <v>29</v>
      </c>
      <c r="E161" s="184">
        <v>70000</v>
      </c>
      <c r="F161" s="184" t="s">
        <v>602</v>
      </c>
      <c r="G161" s="178"/>
      <c r="H161" s="182"/>
      <c r="I161" s="178"/>
      <c r="J161" s="178"/>
      <c r="K161" s="178"/>
      <c r="L161" s="178"/>
    </row>
    <row r="162" spans="1:12" ht="21">
      <c r="A162" s="178"/>
      <c r="B162" s="183">
        <v>113</v>
      </c>
      <c r="C162" s="184" t="s">
        <v>629</v>
      </c>
      <c r="D162" s="184" t="s">
        <v>23</v>
      </c>
      <c r="E162" s="184">
        <v>58000</v>
      </c>
      <c r="F162" s="184" t="s">
        <v>602</v>
      </c>
      <c r="G162" s="178"/>
      <c r="H162" s="182"/>
      <c r="I162" s="178"/>
      <c r="J162" s="178"/>
      <c r="K162" s="178"/>
      <c r="L162" s="178"/>
    </row>
    <row r="163" spans="1:12" ht="21">
      <c r="A163" s="178"/>
      <c r="B163" s="183">
        <v>114</v>
      </c>
      <c r="C163" s="184" t="s">
        <v>630</v>
      </c>
      <c r="D163" s="184" t="s">
        <v>65</v>
      </c>
      <c r="E163" s="184">
        <v>70000</v>
      </c>
      <c r="F163" s="184" t="s">
        <v>360</v>
      </c>
      <c r="G163" s="178"/>
      <c r="H163" s="182"/>
      <c r="I163" s="178"/>
      <c r="J163" s="178"/>
      <c r="K163" s="178"/>
      <c r="L163" s="178"/>
    </row>
    <row r="164" spans="1:12" ht="21">
      <c r="A164" s="178"/>
      <c r="B164" s="182"/>
      <c r="C164" s="178"/>
      <c r="D164" s="178"/>
      <c r="E164" s="178"/>
      <c r="F164" s="178"/>
      <c r="G164" s="178"/>
      <c r="H164" s="182"/>
      <c r="I164" s="178"/>
      <c r="J164" s="178"/>
      <c r="K164" s="178"/>
      <c r="L164" s="178"/>
    </row>
    <row r="165" spans="1:12" ht="39.75">
      <c r="A165" s="178"/>
      <c r="B165" s="179" t="s">
        <v>1</v>
      </c>
      <c r="C165" s="180" t="s">
        <v>2</v>
      </c>
      <c r="D165" s="180" t="s">
        <v>129</v>
      </c>
      <c r="E165" s="180" t="s">
        <v>6</v>
      </c>
      <c r="F165" s="180" t="s">
        <v>600</v>
      </c>
      <c r="G165" s="178"/>
      <c r="H165" s="190" t="s">
        <v>680</v>
      </c>
      <c r="I165" s="178"/>
      <c r="J165" s="178"/>
      <c r="K165" s="178"/>
      <c r="L165" s="178"/>
    </row>
    <row r="166" spans="1:12" ht="21">
      <c r="A166" s="178"/>
      <c r="B166" s="183">
        <v>101</v>
      </c>
      <c r="C166" s="184" t="s">
        <v>601</v>
      </c>
      <c r="D166" s="184" t="s">
        <v>65</v>
      </c>
      <c r="E166" s="184">
        <v>45000</v>
      </c>
      <c r="F166" s="184" t="s">
        <v>602</v>
      </c>
      <c r="G166" s="178"/>
      <c r="H166" s="182"/>
      <c r="I166" s="178"/>
      <c r="J166" s="178"/>
      <c r="K166" s="178"/>
      <c r="L166" s="178"/>
    </row>
    <row r="167" spans="1:12" ht="21">
      <c r="A167" s="178"/>
      <c r="B167" s="183">
        <v>102</v>
      </c>
      <c r="C167" s="184" t="s">
        <v>603</v>
      </c>
      <c r="D167" s="184" t="s">
        <v>29</v>
      </c>
      <c r="E167" s="184">
        <v>52000</v>
      </c>
      <c r="F167" s="184" t="s">
        <v>360</v>
      </c>
      <c r="G167" s="178"/>
      <c r="H167" s="182"/>
      <c r="I167" s="178"/>
      <c r="J167" s="178"/>
      <c r="K167" s="178"/>
      <c r="L167" s="178"/>
    </row>
    <row r="168" spans="1:12" ht="21">
      <c r="A168" s="178"/>
      <c r="B168" s="183">
        <v>103</v>
      </c>
      <c r="C168" s="184" t="s">
        <v>135</v>
      </c>
      <c r="D168" s="184" t="s">
        <v>23</v>
      </c>
      <c r="E168" s="184">
        <v>60000</v>
      </c>
      <c r="F168" s="184" t="s">
        <v>604</v>
      </c>
      <c r="G168" s="178"/>
      <c r="H168" s="182"/>
      <c r="I168" s="178"/>
      <c r="J168" s="178"/>
      <c r="K168" s="178"/>
      <c r="L168" s="178"/>
    </row>
    <row r="169" spans="1:12" ht="21">
      <c r="A169" s="178"/>
      <c r="B169" s="183">
        <v>104</v>
      </c>
      <c r="C169" s="184" t="s">
        <v>133</v>
      </c>
      <c r="D169" s="184" t="s">
        <v>23</v>
      </c>
      <c r="E169" s="184">
        <v>48000</v>
      </c>
      <c r="F169" s="184" t="s">
        <v>602</v>
      </c>
      <c r="G169" s="178"/>
      <c r="H169" s="179" t="s">
        <v>1</v>
      </c>
      <c r="I169" s="180" t="s">
        <v>2</v>
      </c>
      <c r="J169" s="180" t="s">
        <v>129</v>
      </c>
      <c r="K169" s="180" t="s">
        <v>6</v>
      </c>
      <c r="L169" s="180" t="s">
        <v>600</v>
      </c>
    </row>
    <row r="170" spans="1:12" ht="21">
      <c r="A170" s="178"/>
      <c r="B170" s="183">
        <v>105</v>
      </c>
      <c r="C170" s="184" t="s">
        <v>606</v>
      </c>
      <c r="D170" s="184" t="s">
        <v>65</v>
      </c>
      <c r="E170" s="184">
        <v>55000</v>
      </c>
      <c r="F170" s="184" t="s">
        <v>607</v>
      </c>
      <c r="G170" s="178"/>
      <c r="H170" s="188" cm="1">
        <f t="array" ref="H170:L175">_xlfn._xlws.FILTER(B165:F179,F165:F179="MUMBAI")</f>
        <v>101</v>
      </c>
      <c r="I170" s="130" t="str">
        <v>Rohan</v>
      </c>
      <c r="J170" s="130" t="str">
        <v>IT</v>
      </c>
      <c r="K170" s="130">
        <v>45000</v>
      </c>
      <c r="L170" s="130" t="str">
        <v>Mumbai</v>
      </c>
    </row>
    <row r="171" spans="1:12" ht="21">
      <c r="A171" s="178"/>
      <c r="B171" s="183">
        <v>106</v>
      </c>
      <c r="C171" s="184" t="s">
        <v>608</v>
      </c>
      <c r="D171" s="184" t="s">
        <v>29</v>
      </c>
      <c r="E171" s="184">
        <v>51000</v>
      </c>
      <c r="F171" s="184" t="s">
        <v>604</v>
      </c>
      <c r="G171" s="178"/>
      <c r="H171" s="188">
        <v>104</v>
      </c>
      <c r="I171" s="130" t="str">
        <v>Neha</v>
      </c>
      <c r="J171" s="130" t="str">
        <v>Marketing</v>
      </c>
      <c r="K171" s="130">
        <v>48000</v>
      </c>
      <c r="L171" s="130" t="str">
        <v>Mumbai</v>
      </c>
    </row>
    <row r="172" spans="1:12" ht="21">
      <c r="A172" s="178"/>
      <c r="B172" s="183">
        <v>107</v>
      </c>
      <c r="C172" s="184" t="s">
        <v>609</v>
      </c>
      <c r="D172" s="184" t="s">
        <v>23</v>
      </c>
      <c r="E172" s="184">
        <v>62000</v>
      </c>
      <c r="F172" s="184" t="s">
        <v>360</v>
      </c>
      <c r="G172" s="178"/>
      <c r="H172" s="188">
        <v>108</v>
      </c>
      <c r="I172" s="130" t="str">
        <v>Kavya</v>
      </c>
      <c r="J172" s="130" t="str">
        <v>IT</v>
      </c>
      <c r="K172" s="130">
        <v>70000</v>
      </c>
      <c r="L172" s="130" t="str">
        <v>Mumbai</v>
      </c>
    </row>
    <row r="173" spans="1:12" ht="21">
      <c r="A173" s="178"/>
      <c r="B173" s="183">
        <v>108</v>
      </c>
      <c r="C173" s="184" t="s">
        <v>612</v>
      </c>
      <c r="D173" s="184" t="s">
        <v>65</v>
      </c>
      <c r="E173" s="184">
        <v>70000</v>
      </c>
      <c r="F173" s="184" t="s">
        <v>602</v>
      </c>
      <c r="G173" s="178"/>
      <c r="H173" s="188">
        <v>109</v>
      </c>
      <c r="I173" s="130" t="str">
        <v>Rahul</v>
      </c>
      <c r="J173" s="130" t="str">
        <v>IT</v>
      </c>
      <c r="K173" s="130">
        <v>58000</v>
      </c>
      <c r="L173" s="130" t="str">
        <v>Mumbai</v>
      </c>
    </row>
    <row r="174" spans="1:12" ht="21">
      <c r="A174" s="178"/>
      <c r="B174" s="183">
        <v>109</v>
      </c>
      <c r="C174" s="184" t="s">
        <v>131</v>
      </c>
      <c r="D174" s="184" t="s">
        <v>65</v>
      </c>
      <c r="E174" s="184">
        <v>58000</v>
      </c>
      <c r="F174" s="184" t="s">
        <v>602</v>
      </c>
      <c r="G174" s="178"/>
      <c r="H174" s="188">
        <v>112</v>
      </c>
      <c r="I174" s="130" t="str">
        <v>Tinku</v>
      </c>
      <c r="J174" s="130" t="str">
        <v>HR</v>
      </c>
      <c r="K174" s="130">
        <v>70000</v>
      </c>
      <c r="L174" s="130" t="str">
        <v>Mumbai</v>
      </c>
    </row>
    <row r="175" spans="1:12" ht="21">
      <c r="A175" s="178"/>
      <c r="B175" s="183">
        <v>110</v>
      </c>
      <c r="C175" s="184" t="s">
        <v>615</v>
      </c>
      <c r="D175" s="184" t="s">
        <v>23</v>
      </c>
      <c r="E175" s="184">
        <v>51000</v>
      </c>
      <c r="F175" s="184" t="s">
        <v>604</v>
      </c>
      <c r="G175" s="178"/>
      <c r="H175" s="188">
        <v>113</v>
      </c>
      <c r="I175" s="130" t="str">
        <v>Sumit</v>
      </c>
      <c r="J175" s="130" t="str">
        <v>Marketing</v>
      </c>
      <c r="K175" s="130">
        <v>58000</v>
      </c>
      <c r="L175" s="130" t="str">
        <v>Mumbai</v>
      </c>
    </row>
    <row r="176" spans="1:12" ht="21">
      <c r="A176" s="178"/>
      <c r="B176" s="183">
        <v>111</v>
      </c>
      <c r="C176" s="184" t="s">
        <v>627</v>
      </c>
      <c r="D176" s="184" t="s">
        <v>65</v>
      </c>
      <c r="E176" s="184">
        <v>62000</v>
      </c>
      <c r="F176" s="184" t="s">
        <v>360</v>
      </c>
      <c r="G176" s="178"/>
      <c r="H176" s="182"/>
      <c r="I176" s="178"/>
      <c r="J176" s="178"/>
      <c r="K176" s="178"/>
      <c r="L176" s="178"/>
    </row>
    <row r="177" spans="1:12" ht="21">
      <c r="A177" s="178"/>
      <c r="B177" s="183">
        <v>112</v>
      </c>
      <c r="C177" s="184" t="s">
        <v>628</v>
      </c>
      <c r="D177" s="184" t="s">
        <v>29</v>
      </c>
      <c r="E177" s="184">
        <v>70000</v>
      </c>
      <c r="F177" s="184" t="s">
        <v>602</v>
      </c>
      <c r="G177" s="178"/>
      <c r="H177" s="182"/>
      <c r="I177" s="178"/>
      <c r="J177" s="178"/>
      <c r="K177" s="178"/>
      <c r="L177" s="178"/>
    </row>
    <row r="178" spans="1:12" ht="21">
      <c r="A178" s="178"/>
      <c r="B178" s="183">
        <v>113</v>
      </c>
      <c r="C178" s="184" t="s">
        <v>629</v>
      </c>
      <c r="D178" s="184" t="s">
        <v>23</v>
      </c>
      <c r="E178" s="184">
        <v>58000</v>
      </c>
      <c r="F178" s="184" t="s">
        <v>602</v>
      </c>
      <c r="G178" s="178"/>
      <c r="H178" s="182"/>
      <c r="I178" s="178"/>
      <c r="J178" s="178"/>
      <c r="K178" s="178"/>
      <c r="L178" s="178"/>
    </row>
    <row r="179" spans="1:12" ht="21">
      <c r="A179" s="178"/>
      <c r="B179" s="183">
        <v>114</v>
      </c>
      <c r="C179" s="184" t="s">
        <v>630</v>
      </c>
      <c r="D179" s="184" t="s">
        <v>65</v>
      </c>
      <c r="E179" s="184">
        <v>70000</v>
      </c>
      <c r="F179" s="184" t="s">
        <v>360</v>
      </c>
      <c r="G179" s="178"/>
      <c r="H179" s="182"/>
      <c r="I179" s="178"/>
      <c r="J179" s="178"/>
      <c r="K179" s="178"/>
      <c r="L179" s="178"/>
    </row>
    <row r="180" spans="1:12" ht="21">
      <c r="A180" s="178"/>
      <c r="B180" s="182"/>
      <c r="C180" s="178"/>
      <c r="D180" s="178"/>
      <c r="E180" s="178"/>
      <c r="F180" s="178"/>
      <c r="G180" s="178"/>
      <c r="H180" s="182"/>
      <c r="I180" s="178"/>
      <c r="J180" s="178"/>
      <c r="K180" s="178"/>
      <c r="L180" s="178"/>
    </row>
    <row r="181" spans="1:12" ht="39.75">
      <c r="A181" s="178"/>
      <c r="B181" s="179" t="s">
        <v>1</v>
      </c>
      <c r="C181" s="180" t="s">
        <v>2</v>
      </c>
      <c r="D181" s="180" t="s">
        <v>129</v>
      </c>
      <c r="E181" s="180" t="s">
        <v>6</v>
      </c>
      <c r="F181" s="180" t="s">
        <v>600</v>
      </c>
      <c r="G181" s="178"/>
      <c r="H181" s="190" t="s">
        <v>681</v>
      </c>
      <c r="I181" s="178"/>
      <c r="J181" s="178"/>
      <c r="K181" s="178"/>
      <c r="L181" s="178"/>
    </row>
    <row r="182" spans="1:12" ht="21">
      <c r="A182" s="178"/>
      <c r="B182" s="183">
        <v>101</v>
      </c>
      <c r="C182" s="184" t="s">
        <v>601</v>
      </c>
      <c r="D182" s="184" t="s">
        <v>65</v>
      </c>
      <c r="E182" s="184">
        <v>45000</v>
      </c>
      <c r="F182" s="184" t="s">
        <v>602</v>
      </c>
      <c r="G182" s="178"/>
      <c r="H182" s="182"/>
      <c r="I182" s="178"/>
      <c r="J182" s="178"/>
      <c r="K182" s="178"/>
      <c r="L182" s="178"/>
    </row>
    <row r="183" spans="1:12" ht="21">
      <c r="A183" s="178"/>
      <c r="B183" s="183">
        <v>102</v>
      </c>
      <c r="C183" s="184" t="s">
        <v>603</v>
      </c>
      <c r="D183" s="184" t="s">
        <v>29</v>
      </c>
      <c r="E183" s="184">
        <v>52000</v>
      </c>
      <c r="F183" s="184" t="s">
        <v>360</v>
      </c>
      <c r="G183" s="178"/>
      <c r="H183" s="182"/>
      <c r="I183" s="178"/>
      <c r="J183" s="178"/>
      <c r="K183" s="178"/>
      <c r="L183" s="178"/>
    </row>
    <row r="184" spans="1:12" ht="21">
      <c r="A184" s="178"/>
      <c r="B184" s="183">
        <v>103</v>
      </c>
      <c r="C184" s="184" t="s">
        <v>135</v>
      </c>
      <c r="D184" s="184" t="s">
        <v>23</v>
      </c>
      <c r="E184" s="184">
        <v>60000</v>
      </c>
      <c r="F184" s="184" t="s">
        <v>604</v>
      </c>
      <c r="G184" s="178"/>
      <c r="H184" s="182"/>
      <c r="I184" s="178"/>
      <c r="J184" s="178"/>
      <c r="K184" s="178"/>
      <c r="L184" s="178"/>
    </row>
    <row r="185" spans="1:12" ht="21">
      <c r="A185" s="178"/>
      <c r="B185" s="183">
        <v>104</v>
      </c>
      <c r="C185" s="184" t="s">
        <v>133</v>
      </c>
      <c r="D185" s="184" t="s">
        <v>23</v>
      </c>
      <c r="E185" s="184">
        <v>48000</v>
      </c>
      <c r="F185" s="184" t="s">
        <v>602</v>
      </c>
      <c r="G185" s="178"/>
      <c r="H185" s="179" t="s">
        <v>2</v>
      </c>
      <c r="I185" s="178"/>
      <c r="J185" s="178"/>
      <c r="K185" s="178"/>
      <c r="L185" s="178"/>
    </row>
    <row r="186" spans="1:12" ht="21">
      <c r="A186" s="178"/>
      <c r="B186" s="183">
        <v>105</v>
      </c>
      <c r="C186" s="184" t="s">
        <v>606</v>
      </c>
      <c r="D186" s="184" t="s">
        <v>65</v>
      </c>
      <c r="E186" s="184">
        <v>55000</v>
      </c>
      <c r="F186" s="184" t="s">
        <v>607</v>
      </c>
      <c r="G186" s="178"/>
      <c r="H186" s="188" cm="1">
        <f t="array" ref="H186:L191">_xlfn._xlws.FILTER(B181:F195,D181:D195="IT")</f>
        <v>101</v>
      </c>
      <c r="I186" s="178" t="str">
        <v>Rohan</v>
      </c>
      <c r="J186" s="178" t="str">
        <v>IT</v>
      </c>
      <c r="K186" s="178">
        <v>45000</v>
      </c>
      <c r="L186" s="178" t="str">
        <v>Mumbai</v>
      </c>
    </row>
    <row r="187" spans="1:12" ht="21">
      <c r="A187" s="178"/>
      <c r="B187" s="183">
        <v>106</v>
      </c>
      <c r="C187" s="184" t="s">
        <v>608</v>
      </c>
      <c r="D187" s="184" t="s">
        <v>29</v>
      </c>
      <c r="E187" s="184">
        <v>51000</v>
      </c>
      <c r="F187" s="184" t="s">
        <v>604</v>
      </c>
      <c r="G187" s="178"/>
      <c r="H187" s="188">
        <v>105</v>
      </c>
      <c r="I187" s="178" t="str">
        <v>Karan</v>
      </c>
      <c r="J187" s="178" t="str">
        <v>IT</v>
      </c>
      <c r="K187" s="178">
        <v>55000</v>
      </c>
      <c r="L187" s="178" t="str">
        <v>Chennai</v>
      </c>
    </row>
    <row r="188" spans="1:12" ht="21">
      <c r="A188" s="178"/>
      <c r="B188" s="183">
        <v>107</v>
      </c>
      <c r="C188" s="184" t="s">
        <v>609</v>
      </c>
      <c r="D188" s="184" t="s">
        <v>23</v>
      </c>
      <c r="E188" s="184">
        <v>62000</v>
      </c>
      <c r="F188" s="184" t="s">
        <v>360</v>
      </c>
      <c r="G188" s="178"/>
      <c r="H188" s="188">
        <v>108</v>
      </c>
      <c r="I188" s="178" t="str">
        <v>Kavya</v>
      </c>
      <c r="J188" s="178" t="str">
        <v>IT</v>
      </c>
      <c r="K188" s="178">
        <v>70000</v>
      </c>
      <c r="L188" s="178" t="str">
        <v>Mumbai</v>
      </c>
    </row>
    <row r="189" spans="1:12" ht="21">
      <c r="A189" s="178"/>
      <c r="B189" s="183">
        <v>108</v>
      </c>
      <c r="C189" s="184" t="s">
        <v>612</v>
      </c>
      <c r="D189" s="184" t="s">
        <v>65</v>
      </c>
      <c r="E189" s="184">
        <v>70000</v>
      </c>
      <c r="F189" s="184" t="s">
        <v>602</v>
      </c>
      <c r="G189" s="178"/>
      <c r="H189" s="188">
        <v>109</v>
      </c>
      <c r="I189" s="178" t="str">
        <v>Rahul</v>
      </c>
      <c r="J189" s="178" t="str">
        <v>IT</v>
      </c>
      <c r="K189" s="178">
        <v>58000</v>
      </c>
      <c r="L189" s="178" t="str">
        <v>Mumbai</v>
      </c>
    </row>
    <row r="190" spans="1:12" ht="21">
      <c r="A190" s="178"/>
      <c r="B190" s="183">
        <v>109</v>
      </c>
      <c r="C190" s="184" t="s">
        <v>131</v>
      </c>
      <c r="D190" s="184" t="s">
        <v>65</v>
      </c>
      <c r="E190" s="184">
        <v>58000</v>
      </c>
      <c r="F190" s="184" t="s">
        <v>602</v>
      </c>
      <c r="G190" s="178"/>
      <c r="H190" s="188">
        <v>111</v>
      </c>
      <c r="I190" s="178" t="str">
        <v>Sonu</v>
      </c>
      <c r="J190" s="178" t="str">
        <v>IT</v>
      </c>
      <c r="K190" s="178">
        <v>62000</v>
      </c>
      <c r="L190" s="178" t="str">
        <v>Delhi</v>
      </c>
    </row>
    <row r="191" spans="1:12" ht="21">
      <c r="A191" s="178"/>
      <c r="B191" s="183">
        <v>110</v>
      </c>
      <c r="C191" s="184" t="s">
        <v>615</v>
      </c>
      <c r="D191" s="184" t="s">
        <v>23</v>
      </c>
      <c r="E191" s="184">
        <v>51000</v>
      </c>
      <c r="F191" s="184" t="s">
        <v>604</v>
      </c>
      <c r="G191" s="178"/>
      <c r="H191" s="188">
        <v>114</v>
      </c>
      <c r="I191" s="178" t="str">
        <v>Sunny</v>
      </c>
      <c r="J191" s="178" t="str">
        <v>IT</v>
      </c>
      <c r="K191" s="178">
        <v>70000</v>
      </c>
      <c r="L191" s="178" t="str">
        <v>Delhi</v>
      </c>
    </row>
    <row r="192" spans="1:12" ht="21">
      <c r="A192" s="178"/>
      <c r="B192" s="183">
        <v>111</v>
      </c>
      <c r="C192" s="184" t="s">
        <v>627</v>
      </c>
      <c r="D192" s="184" t="s">
        <v>65</v>
      </c>
      <c r="E192" s="184">
        <v>62000</v>
      </c>
      <c r="F192" s="184" t="s">
        <v>360</v>
      </c>
      <c r="G192" s="178"/>
      <c r="H192" s="182"/>
      <c r="I192" s="178"/>
      <c r="J192" s="178"/>
      <c r="K192" s="178"/>
      <c r="L192" s="178"/>
    </row>
    <row r="193" spans="1:12" ht="21">
      <c r="A193" s="178"/>
      <c r="B193" s="183">
        <v>112</v>
      </c>
      <c r="C193" s="184" t="s">
        <v>628</v>
      </c>
      <c r="D193" s="184" t="s">
        <v>29</v>
      </c>
      <c r="E193" s="184">
        <v>70000</v>
      </c>
      <c r="F193" s="184" t="s">
        <v>602</v>
      </c>
      <c r="G193" s="178"/>
      <c r="H193" s="182"/>
      <c r="I193" s="178"/>
      <c r="J193" s="178"/>
      <c r="K193" s="178"/>
      <c r="L193" s="178"/>
    </row>
    <row r="194" spans="1:12" ht="21">
      <c r="A194" s="178"/>
      <c r="B194" s="183">
        <v>113</v>
      </c>
      <c r="C194" s="184" t="s">
        <v>629</v>
      </c>
      <c r="D194" s="184" t="s">
        <v>23</v>
      </c>
      <c r="E194" s="184">
        <v>58000</v>
      </c>
      <c r="F194" s="184" t="s">
        <v>602</v>
      </c>
      <c r="G194" s="178"/>
      <c r="H194" s="182"/>
      <c r="I194" s="178"/>
      <c r="J194" s="178"/>
      <c r="K194" s="178"/>
      <c r="L194" s="178"/>
    </row>
    <row r="195" spans="1:12" ht="21">
      <c r="A195" s="178"/>
      <c r="B195" s="183">
        <v>114</v>
      </c>
      <c r="C195" s="184" t="s">
        <v>630</v>
      </c>
      <c r="D195" s="184" t="s">
        <v>65</v>
      </c>
      <c r="E195" s="184">
        <v>70000</v>
      </c>
      <c r="F195" s="184" t="s">
        <v>360</v>
      </c>
      <c r="G195" s="178"/>
      <c r="H195" s="182"/>
      <c r="I195" s="178"/>
      <c r="J195" s="178"/>
      <c r="K195" s="178"/>
      <c r="L195" s="178"/>
    </row>
    <row r="196" spans="1:12" ht="21">
      <c r="A196" s="178"/>
      <c r="B196" s="182"/>
      <c r="C196" s="178"/>
      <c r="D196" s="178"/>
      <c r="E196" s="178"/>
      <c r="F196" s="178"/>
      <c r="G196" s="178"/>
      <c r="H196" s="182"/>
      <c r="I196" s="178"/>
      <c r="J196" s="178"/>
      <c r="K196" s="178"/>
      <c r="L196" s="178"/>
    </row>
    <row r="197" spans="1:12" ht="39.75">
      <c r="A197" s="178"/>
      <c r="B197" s="179" t="s">
        <v>1</v>
      </c>
      <c r="C197" s="180" t="s">
        <v>2</v>
      </c>
      <c r="D197" s="180" t="s">
        <v>129</v>
      </c>
      <c r="E197" s="180" t="s">
        <v>6</v>
      </c>
      <c r="F197" s="180" t="s">
        <v>600</v>
      </c>
      <c r="G197" s="178"/>
      <c r="H197" s="190" t="s">
        <v>682</v>
      </c>
      <c r="I197" s="178"/>
      <c r="J197" s="178"/>
      <c r="K197" s="178"/>
      <c r="L197" s="178"/>
    </row>
    <row r="198" spans="1:12" ht="21">
      <c r="A198" s="178"/>
      <c r="B198" s="183">
        <v>101</v>
      </c>
      <c r="C198" s="184" t="s">
        <v>601</v>
      </c>
      <c r="D198" s="184" t="s">
        <v>65</v>
      </c>
      <c r="E198" s="184">
        <v>45000</v>
      </c>
      <c r="F198" s="184" t="s">
        <v>602</v>
      </c>
      <c r="G198" s="178"/>
      <c r="H198" s="182"/>
      <c r="I198" s="178"/>
      <c r="J198" s="178"/>
      <c r="K198" s="178"/>
      <c r="L198" s="178"/>
    </row>
    <row r="199" spans="1:12" ht="21">
      <c r="A199" s="178"/>
      <c r="B199" s="183">
        <v>102</v>
      </c>
      <c r="C199" s="184" t="s">
        <v>603</v>
      </c>
      <c r="D199" s="184" t="s">
        <v>29</v>
      </c>
      <c r="E199" s="184">
        <v>52000</v>
      </c>
      <c r="F199" s="184" t="s">
        <v>360</v>
      </c>
      <c r="G199" s="178"/>
      <c r="H199" s="182"/>
      <c r="I199" s="178"/>
      <c r="J199" s="178"/>
      <c r="K199" s="178"/>
      <c r="L199" s="178"/>
    </row>
    <row r="200" spans="1:12" ht="21">
      <c r="A200" s="178"/>
      <c r="B200" s="183">
        <v>103</v>
      </c>
      <c r="C200" s="184" t="s">
        <v>135</v>
      </c>
      <c r="D200" s="184" t="s">
        <v>23</v>
      </c>
      <c r="E200" s="184">
        <v>60000</v>
      </c>
      <c r="F200" s="184" t="s">
        <v>604</v>
      </c>
      <c r="G200" s="178"/>
      <c r="H200" s="182"/>
      <c r="I200" s="178"/>
      <c r="J200" s="178"/>
      <c r="K200" s="178"/>
      <c r="L200" s="178"/>
    </row>
    <row r="201" spans="1:12" ht="21">
      <c r="A201" s="178"/>
      <c r="B201" s="183">
        <v>104</v>
      </c>
      <c r="C201" s="184" t="s">
        <v>133</v>
      </c>
      <c r="D201" s="184" t="s">
        <v>23</v>
      </c>
      <c r="E201" s="184">
        <v>48000</v>
      </c>
      <c r="F201" s="184" t="s">
        <v>602</v>
      </c>
      <c r="G201" s="178"/>
      <c r="H201" s="179" t="s">
        <v>2</v>
      </c>
      <c r="I201" s="180" t="s">
        <v>6</v>
      </c>
      <c r="J201" s="178"/>
      <c r="K201" s="178"/>
      <c r="L201" s="178"/>
    </row>
    <row r="202" spans="1:12" ht="21">
      <c r="A202" s="178"/>
      <c r="B202" s="183">
        <v>105</v>
      </c>
      <c r="C202" s="184" t="s">
        <v>606</v>
      </c>
      <c r="D202" s="184" t="s">
        <v>65</v>
      </c>
      <c r="E202" s="184">
        <v>55000</v>
      </c>
      <c r="F202" s="184" t="s">
        <v>607</v>
      </c>
      <c r="G202" s="178"/>
      <c r="H202" s="188" t="str" cm="1">
        <f t="array" ref="H202:I207">_xlfn._xlws.FILTER(CHOOSE({1,2},C197:C211,E197:E211),D197:D211="IT")</f>
        <v>Rohan</v>
      </c>
      <c r="I202" s="130">
        <v>45000</v>
      </c>
      <c r="J202" s="178"/>
      <c r="K202" s="178"/>
      <c r="L202" s="178"/>
    </row>
    <row r="203" spans="1:12" ht="21">
      <c r="A203" s="178"/>
      <c r="B203" s="183">
        <v>106</v>
      </c>
      <c r="C203" s="184" t="s">
        <v>608</v>
      </c>
      <c r="D203" s="184" t="s">
        <v>29</v>
      </c>
      <c r="E203" s="184">
        <v>51000</v>
      </c>
      <c r="F203" s="184" t="s">
        <v>604</v>
      </c>
      <c r="G203" s="178"/>
      <c r="H203" s="188" t="str">
        <v>Karan</v>
      </c>
      <c r="I203" s="130">
        <v>55000</v>
      </c>
      <c r="J203" s="178"/>
      <c r="K203" s="178"/>
      <c r="L203" s="178"/>
    </row>
    <row r="204" spans="1:12" ht="21">
      <c r="A204" s="178"/>
      <c r="B204" s="183">
        <v>107</v>
      </c>
      <c r="C204" s="184" t="s">
        <v>609</v>
      </c>
      <c r="D204" s="184" t="s">
        <v>23</v>
      </c>
      <c r="E204" s="184">
        <v>62000</v>
      </c>
      <c r="F204" s="184" t="s">
        <v>360</v>
      </c>
      <c r="G204" s="178"/>
      <c r="H204" s="188" t="str">
        <v>Kavya</v>
      </c>
      <c r="I204" s="130">
        <v>70000</v>
      </c>
      <c r="J204" s="178"/>
      <c r="K204" s="178"/>
      <c r="L204" s="178"/>
    </row>
    <row r="205" spans="1:12" ht="21">
      <c r="A205" s="178"/>
      <c r="B205" s="183">
        <v>108</v>
      </c>
      <c r="C205" s="184" t="s">
        <v>612</v>
      </c>
      <c r="D205" s="184" t="s">
        <v>65</v>
      </c>
      <c r="E205" s="184">
        <v>70000</v>
      </c>
      <c r="F205" s="184" t="s">
        <v>602</v>
      </c>
      <c r="G205" s="178"/>
      <c r="H205" s="188" t="str">
        <v>Rahul</v>
      </c>
      <c r="I205" s="130">
        <v>58000</v>
      </c>
      <c r="J205" s="178"/>
      <c r="K205" s="178"/>
      <c r="L205" s="178"/>
    </row>
    <row r="206" spans="1:12" ht="21">
      <c r="A206" s="178"/>
      <c r="B206" s="183">
        <v>109</v>
      </c>
      <c r="C206" s="184" t="s">
        <v>131</v>
      </c>
      <c r="D206" s="184" t="s">
        <v>65</v>
      </c>
      <c r="E206" s="184">
        <v>58000</v>
      </c>
      <c r="F206" s="184" t="s">
        <v>602</v>
      </c>
      <c r="G206" s="178"/>
      <c r="H206" s="188" t="str">
        <v>Sonu</v>
      </c>
      <c r="I206" s="130">
        <v>62000</v>
      </c>
      <c r="J206" s="178"/>
      <c r="K206" s="178"/>
      <c r="L206" s="178"/>
    </row>
    <row r="207" spans="1:12" ht="21">
      <c r="A207" s="178"/>
      <c r="B207" s="183">
        <v>110</v>
      </c>
      <c r="C207" s="184" t="s">
        <v>615</v>
      </c>
      <c r="D207" s="184" t="s">
        <v>23</v>
      </c>
      <c r="E207" s="184">
        <v>51000</v>
      </c>
      <c r="F207" s="184" t="s">
        <v>604</v>
      </c>
      <c r="G207" s="178"/>
      <c r="H207" s="188" t="str">
        <v>Sunny</v>
      </c>
      <c r="I207" s="130">
        <v>70000</v>
      </c>
      <c r="J207" s="178"/>
      <c r="K207" s="178"/>
      <c r="L207" s="178"/>
    </row>
    <row r="208" spans="1:12" ht="21">
      <c r="A208" s="178"/>
      <c r="B208" s="183">
        <v>111</v>
      </c>
      <c r="C208" s="184" t="s">
        <v>627</v>
      </c>
      <c r="D208" s="184" t="s">
        <v>65</v>
      </c>
      <c r="E208" s="184">
        <v>62000</v>
      </c>
      <c r="F208" s="184" t="s">
        <v>360</v>
      </c>
      <c r="G208" s="178"/>
      <c r="H208" s="182"/>
      <c r="I208" s="178"/>
      <c r="J208" s="178"/>
      <c r="K208" s="178"/>
      <c r="L208" s="178"/>
    </row>
    <row r="209" spans="1:12" ht="21">
      <c r="A209" s="178"/>
      <c r="B209" s="183">
        <v>112</v>
      </c>
      <c r="C209" s="184" t="s">
        <v>628</v>
      </c>
      <c r="D209" s="184" t="s">
        <v>29</v>
      </c>
      <c r="E209" s="184">
        <v>70000</v>
      </c>
      <c r="F209" s="184" t="s">
        <v>602</v>
      </c>
      <c r="G209" s="178"/>
      <c r="H209" s="182"/>
      <c r="I209" s="178"/>
      <c r="J209" s="178"/>
      <c r="K209" s="178"/>
      <c r="L209" s="178"/>
    </row>
    <row r="210" spans="1:12" ht="21">
      <c r="A210" s="178"/>
      <c r="B210" s="183">
        <v>113</v>
      </c>
      <c r="C210" s="184" t="s">
        <v>629</v>
      </c>
      <c r="D210" s="184" t="s">
        <v>23</v>
      </c>
      <c r="E210" s="184">
        <v>58000</v>
      </c>
      <c r="F210" s="184" t="s">
        <v>602</v>
      </c>
      <c r="G210" s="178"/>
      <c r="H210" s="182"/>
      <c r="I210" s="178"/>
      <c r="J210" s="178"/>
      <c r="K210" s="178"/>
      <c r="L210" s="178"/>
    </row>
    <row r="211" spans="1:12" ht="21">
      <c r="A211" s="178"/>
      <c r="B211" s="183">
        <v>114</v>
      </c>
      <c r="C211" s="184" t="s">
        <v>630</v>
      </c>
      <c r="D211" s="184" t="s">
        <v>65</v>
      </c>
      <c r="E211" s="184">
        <v>70000</v>
      </c>
      <c r="F211" s="184" t="s">
        <v>360</v>
      </c>
      <c r="G211" s="178"/>
      <c r="H211" s="182"/>
      <c r="I211" s="178"/>
      <c r="J211" s="178"/>
      <c r="K211" s="178"/>
      <c r="L211" s="178"/>
    </row>
    <row r="212" spans="1:12" ht="21">
      <c r="A212" s="178"/>
      <c r="B212" s="182"/>
      <c r="C212" s="178"/>
      <c r="D212" s="178"/>
      <c r="E212" s="178"/>
      <c r="F212" s="178"/>
      <c r="G212" s="178"/>
      <c r="H212" s="182"/>
      <c r="I212" s="178"/>
      <c r="J212" s="178"/>
      <c r="K212" s="178"/>
      <c r="L212" s="178"/>
    </row>
    <row r="213" spans="1:12" ht="39.75">
      <c r="A213" s="178"/>
      <c r="B213" s="179" t="s">
        <v>1</v>
      </c>
      <c r="C213" s="180" t="s">
        <v>2</v>
      </c>
      <c r="D213" s="180" t="s">
        <v>129</v>
      </c>
      <c r="E213" s="180" t="s">
        <v>6</v>
      </c>
      <c r="F213" s="180" t="s">
        <v>600</v>
      </c>
      <c r="G213" s="178"/>
      <c r="H213" s="190" t="s">
        <v>683</v>
      </c>
      <c r="I213" s="178"/>
      <c r="J213" s="178"/>
      <c r="K213" s="178"/>
      <c r="L213" s="178"/>
    </row>
    <row r="214" spans="1:12" ht="21">
      <c r="A214" s="178"/>
      <c r="B214" s="183">
        <v>101</v>
      </c>
      <c r="C214" s="184" t="s">
        <v>601</v>
      </c>
      <c r="D214" s="184" t="s">
        <v>65</v>
      </c>
      <c r="E214" s="184">
        <v>45000</v>
      </c>
      <c r="F214" s="184" t="s">
        <v>602</v>
      </c>
      <c r="G214" s="178"/>
      <c r="H214" s="182"/>
      <c r="I214" s="178"/>
      <c r="J214" s="178"/>
      <c r="K214" s="178"/>
      <c r="L214" s="178"/>
    </row>
    <row r="215" spans="1:12" ht="21">
      <c r="A215" s="178"/>
      <c r="B215" s="183">
        <v>102</v>
      </c>
      <c r="C215" s="184" t="s">
        <v>603</v>
      </c>
      <c r="D215" s="184" t="s">
        <v>29</v>
      </c>
      <c r="E215" s="184">
        <v>52000</v>
      </c>
      <c r="F215" s="184" t="s">
        <v>360</v>
      </c>
      <c r="G215" s="178"/>
      <c r="H215" s="182"/>
      <c r="I215" s="178"/>
      <c r="J215" s="178"/>
      <c r="K215" s="178"/>
      <c r="L215" s="178"/>
    </row>
    <row r="216" spans="1:12" ht="21">
      <c r="A216" s="178"/>
      <c r="B216" s="183">
        <v>103</v>
      </c>
      <c r="C216" s="184" t="s">
        <v>135</v>
      </c>
      <c r="D216" s="184" t="s">
        <v>23</v>
      </c>
      <c r="E216" s="184">
        <v>60000</v>
      </c>
      <c r="F216" s="184" t="s">
        <v>604</v>
      </c>
      <c r="G216" s="178"/>
      <c r="H216" s="182"/>
      <c r="I216" s="178"/>
      <c r="J216" s="178"/>
      <c r="K216" s="178"/>
      <c r="L216" s="178"/>
    </row>
    <row r="217" spans="1:12" ht="21">
      <c r="A217" s="178"/>
      <c r="B217" s="183">
        <v>104</v>
      </c>
      <c r="C217" s="184" t="s">
        <v>133</v>
      </c>
      <c r="D217" s="184" t="s">
        <v>23</v>
      </c>
      <c r="E217" s="184">
        <v>48000</v>
      </c>
      <c r="F217" s="184" t="s">
        <v>602</v>
      </c>
      <c r="G217" s="178"/>
      <c r="H217" s="179"/>
      <c r="I217" s="180"/>
      <c r="J217" s="180"/>
      <c r="K217" s="180"/>
      <c r="L217" s="180"/>
    </row>
    <row r="218" spans="1:12" ht="21">
      <c r="A218" s="178"/>
      <c r="B218" s="183">
        <v>105</v>
      </c>
      <c r="C218" s="184" t="s">
        <v>606</v>
      </c>
      <c r="D218" s="184" t="s">
        <v>65</v>
      </c>
      <c r="E218" s="184">
        <v>55000</v>
      </c>
      <c r="F218" s="184" t="s">
        <v>607</v>
      </c>
      <c r="G218" s="178"/>
      <c r="H218" s="188" cm="1">
        <f t="array" ref="H218:L222">_xlfn._xlws.FILTER(B213:F227,E213:E227&lt;55000)</f>
        <v>101</v>
      </c>
      <c r="I218" s="130" t="str">
        <v>Rohan</v>
      </c>
      <c r="J218" s="130" t="str">
        <v>IT</v>
      </c>
      <c r="K218" s="130">
        <v>45000</v>
      </c>
      <c r="L218" s="130" t="str">
        <v>Mumbai</v>
      </c>
    </row>
    <row r="219" spans="1:12" ht="21">
      <c r="A219" s="178"/>
      <c r="B219" s="183">
        <v>106</v>
      </c>
      <c r="C219" s="184" t="s">
        <v>608</v>
      </c>
      <c r="D219" s="184" t="s">
        <v>29</v>
      </c>
      <c r="E219" s="184">
        <v>51000</v>
      </c>
      <c r="F219" s="184" t="s">
        <v>604</v>
      </c>
      <c r="G219" s="178"/>
      <c r="H219" s="188">
        <v>102</v>
      </c>
      <c r="I219" s="130" t="str">
        <v>Priya</v>
      </c>
      <c r="J219" s="130" t="str">
        <v>HR</v>
      </c>
      <c r="K219" s="130">
        <v>52000</v>
      </c>
      <c r="L219" s="130" t="str">
        <v>Delhi</v>
      </c>
    </row>
    <row r="220" spans="1:12" ht="21">
      <c r="A220" s="178"/>
      <c r="B220" s="183">
        <v>107</v>
      </c>
      <c r="C220" s="184" t="s">
        <v>609</v>
      </c>
      <c r="D220" s="184" t="s">
        <v>23</v>
      </c>
      <c r="E220" s="184">
        <v>62000</v>
      </c>
      <c r="F220" s="184" t="s">
        <v>360</v>
      </c>
      <c r="G220" s="178"/>
      <c r="H220" s="188">
        <v>104</v>
      </c>
      <c r="I220" s="130" t="str">
        <v>Neha</v>
      </c>
      <c r="J220" s="130" t="str">
        <v>Marketing</v>
      </c>
      <c r="K220" s="130">
        <v>48000</v>
      </c>
      <c r="L220" s="130" t="str">
        <v>Mumbai</v>
      </c>
    </row>
    <row r="221" spans="1:12" ht="21">
      <c r="A221" s="178"/>
      <c r="B221" s="183">
        <v>108</v>
      </c>
      <c r="C221" s="184" t="s">
        <v>612</v>
      </c>
      <c r="D221" s="184" t="s">
        <v>65</v>
      </c>
      <c r="E221" s="184">
        <v>70000</v>
      </c>
      <c r="F221" s="184" t="s">
        <v>602</v>
      </c>
      <c r="G221" s="178"/>
      <c r="H221" s="188">
        <v>106</v>
      </c>
      <c r="I221" s="130" t="str">
        <v>Sheetal</v>
      </c>
      <c r="J221" s="130" t="str">
        <v>HR</v>
      </c>
      <c r="K221" s="130">
        <v>51000</v>
      </c>
      <c r="L221" s="130" t="str">
        <v>Pune</v>
      </c>
    </row>
    <row r="222" spans="1:12" ht="21">
      <c r="A222" s="178"/>
      <c r="B222" s="183">
        <v>109</v>
      </c>
      <c r="C222" s="184" t="s">
        <v>131</v>
      </c>
      <c r="D222" s="184" t="s">
        <v>65</v>
      </c>
      <c r="E222" s="184">
        <v>58000</v>
      </c>
      <c r="F222" s="184" t="s">
        <v>602</v>
      </c>
      <c r="G222" s="178"/>
      <c r="H222" s="188">
        <v>110</v>
      </c>
      <c r="I222" s="130" t="str">
        <v>Sneha</v>
      </c>
      <c r="J222" s="130" t="str">
        <v>Marketing</v>
      </c>
      <c r="K222" s="130">
        <v>51000</v>
      </c>
      <c r="L222" s="130" t="str">
        <v>Pune</v>
      </c>
    </row>
    <row r="223" spans="1:12" ht="21">
      <c r="A223" s="178"/>
      <c r="B223" s="183">
        <v>110</v>
      </c>
      <c r="C223" s="184" t="s">
        <v>615</v>
      </c>
      <c r="D223" s="184" t="s">
        <v>23</v>
      </c>
      <c r="E223" s="184">
        <v>51000</v>
      </c>
      <c r="F223" s="184" t="s">
        <v>604</v>
      </c>
      <c r="G223" s="178"/>
      <c r="H223" s="182"/>
      <c r="I223" s="178"/>
      <c r="J223" s="178"/>
      <c r="K223" s="178"/>
      <c r="L223" s="178"/>
    </row>
    <row r="224" spans="1:12" ht="21">
      <c r="A224" s="178"/>
      <c r="B224" s="183">
        <v>111</v>
      </c>
      <c r="C224" s="184" t="s">
        <v>627</v>
      </c>
      <c r="D224" s="184" t="s">
        <v>65</v>
      </c>
      <c r="E224" s="184">
        <v>62000</v>
      </c>
      <c r="F224" s="184" t="s">
        <v>360</v>
      </c>
      <c r="G224" s="178"/>
      <c r="H224" s="182"/>
      <c r="I224" s="178"/>
      <c r="J224" s="178"/>
      <c r="K224" s="178"/>
      <c r="L224" s="178"/>
    </row>
    <row r="225" spans="1:12" ht="21">
      <c r="A225" s="178"/>
      <c r="B225" s="183">
        <v>112</v>
      </c>
      <c r="C225" s="184" t="s">
        <v>628</v>
      </c>
      <c r="D225" s="184" t="s">
        <v>29</v>
      </c>
      <c r="E225" s="184">
        <v>70000</v>
      </c>
      <c r="F225" s="184" t="s">
        <v>602</v>
      </c>
      <c r="G225" s="178"/>
      <c r="H225" s="182"/>
      <c r="I225" s="178"/>
      <c r="J225" s="178"/>
      <c r="K225" s="178"/>
      <c r="L225" s="178"/>
    </row>
    <row r="226" spans="1:12" ht="21">
      <c r="A226" s="178"/>
      <c r="B226" s="183">
        <v>113</v>
      </c>
      <c r="C226" s="184" t="s">
        <v>629</v>
      </c>
      <c r="D226" s="184" t="s">
        <v>23</v>
      </c>
      <c r="E226" s="184">
        <v>58000</v>
      </c>
      <c r="F226" s="184" t="s">
        <v>602</v>
      </c>
      <c r="G226" s="178"/>
      <c r="H226" s="182"/>
      <c r="I226" s="178"/>
      <c r="J226" s="178"/>
      <c r="K226" s="178"/>
      <c r="L226" s="178"/>
    </row>
    <row r="227" spans="1:12" ht="21">
      <c r="A227" s="178"/>
      <c r="B227" s="183">
        <v>114</v>
      </c>
      <c r="C227" s="184" t="s">
        <v>630</v>
      </c>
      <c r="D227" s="184" t="s">
        <v>65</v>
      </c>
      <c r="E227" s="184">
        <v>70000</v>
      </c>
      <c r="F227" s="184" t="s">
        <v>360</v>
      </c>
      <c r="G227" s="178"/>
      <c r="H227" s="182"/>
      <c r="I227" s="178"/>
      <c r="J227" s="178"/>
      <c r="K227" s="178"/>
      <c r="L227" s="178"/>
    </row>
    <row r="228" spans="1:12" ht="21">
      <c r="A228" s="178"/>
      <c r="B228" s="182"/>
      <c r="C228" s="178"/>
      <c r="D228" s="178"/>
      <c r="E228" s="178"/>
      <c r="F228" s="178"/>
      <c r="G228" s="178"/>
      <c r="H228" s="182"/>
      <c r="I228" s="178"/>
      <c r="J228" s="178"/>
      <c r="K228" s="178"/>
      <c r="L228" s="178"/>
    </row>
    <row r="229" spans="1:12" ht="39.75">
      <c r="A229" s="178"/>
      <c r="B229" s="179" t="s">
        <v>1</v>
      </c>
      <c r="C229" s="180" t="s">
        <v>2</v>
      </c>
      <c r="D229" s="180" t="s">
        <v>129</v>
      </c>
      <c r="E229" s="180" t="s">
        <v>6</v>
      </c>
      <c r="F229" s="180" t="s">
        <v>600</v>
      </c>
      <c r="G229" s="178"/>
      <c r="H229" s="190" t="s">
        <v>684</v>
      </c>
      <c r="I229" s="178"/>
      <c r="J229" s="178"/>
      <c r="K229" s="178"/>
      <c r="L229" s="178"/>
    </row>
    <row r="230" spans="1:12" ht="39.75">
      <c r="A230" s="178"/>
      <c r="B230" s="183">
        <v>101</v>
      </c>
      <c r="C230" s="184" t="s">
        <v>601</v>
      </c>
      <c r="D230" s="184" t="s">
        <v>65</v>
      </c>
      <c r="E230" s="184">
        <v>45000</v>
      </c>
      <c r="F230" s="184" t="s">
        <v>602</v>
      </c>
      <c r="G230" s="178"/>
      <c r="H230" s="191" t="s">
        <v>685</v>
      </c>
      <c r="I230" s="178"/>
      <c r="J230" s="178"/>
      <c r="K230" s="178"/>
      <c r="L230" s="178"/>
    </row>
    <row r="231" spans="1:12" ht="21">
      <c r="A231" s="178"/>
      <c r="B231" s="183">
        <v>102</v>
      </c>
      <c r="C231" s="184" t="s">
        <v>603</v>
      </c>
      <c r="D231" s="184" t="s">
        <v>29</v>
      </c>
      <c r="E231" s="184">
        <v>52000</v>
      </c>
      <c r="F231" s="184" t="s">
        <v>360</v>
      </c>
      <c r="G231" s="178"/>
      <c r="H231" s="182"/>
      <c r="I231" s="178"/>
      <c r="J231" s="178"/>
      <c r="K231" s="178"/>
      <c r="L231" s="178"/>
    </row>
    <row r="232" spans="1:12" ht="21">
      <c r="A232" s="178"/>
      <c r="B232" s="183">
        <v>103</v>
      </c>
      <c r="C232" s="184" t="s">
        <v>135</v>
      </c>
      <c r="D232" s="184" t="s">
        <v>23</v>
      </c>
      <c r="E232" s="184">
        <v>60000</v>
      </c>
      <c r="F232" s="184" t="s">
        <v>604</v>
      </c>
      <c r="G232" s="178"/>
      <c r="H232" s="182"/>
      <c r="I232" s="178"/>
      <c r="J232" s="178"/>
      <c r="K232" s="178"/>
      <c r="L232" s="178"/>
    </row>
    <row r="233" spans="1:12" ht="21">
      <c r="A233" s="178"/>
      <c r="B233" s="183">
        <v>104</v>
      </c>
      <c r="C233" s="184" t="s">
        <v>133</v>
      </c>
      <c r="D233" s="184" t="s">
        <v>23</v>
      </c>
      <c r="E233" s="184">
        <v>48000</v>
      </c>
      <c r="F233" s="184" t="s">
        <v>602</v>
      </c>
      <c r="G233" s="178"/>
      <c r="H233" s="179" t="s">
        <v>1</v>
      </c>
      <c r="I233" s="180" t="s">
        <v>2</v>
      </c>
      <c r="J233" s="180" t="s">
        <v>129</v>
      </c>
      <c r="K233" s="180" t="s">
        <v>6</v>
      </c>
      <c r="L233" s="180" t="s">
        <v>600</v>
      </c>
    </row>
    <row r="234" spans="1:12" ht="21">
      <c r="A234" s="178"/>
      <c r="B234" s="183">
        <v>105</v>
      </c>
      <c r="C234" s="184" t="s">
        <v>606</v>
      </c>
      <c r="D234" s="184" t="s">
        <v>65</v>
      </c>
      <c r="E234" s="184">
        <v>55000</v>
      </c>
      <c r="F234" s="184" t="s">
        <v>607</v>
      </c>
      <c r="G234" s="178"/>
      <c r="H234" s="188" cm="1">
        <f t="array" ref="H234:L235">_xlfn._xlws.FILTER(B229:F243,(D229:D243="HR")*(E229:E243&lt;55000))</f>
        <v>102</v>
      </c>
      <c r="I234" s="130" t="str">
        <v>Priya</v>
      </c>
      <c r="J234" s="130" t="str">
        <v>HR</v>
      </c>
      <c r="K234" s="130">
        <v>52000</v>
      </c>
      <c r="L234" s="130" t="str">
        <v>Delhi</v>
      </c>
    </row>
    <row r="235" spans="1:12" ht="21">
      <c r="A235" s="178"/>
      <c r="B235" s="183">
        <v>106</v>
      </c>
      <c r="C235" s="184" t="s">
        <v>608</v>
      </c>
      <c r="D235" s="184" t="s">
        <v>29</v>
      </c>
      <c r="E235" s="184">
        <v>51000</v>
      </c>
      <c r="F235" s="184" t="s">
        <v>604</v>
      </c>
      <c r="G235" s="178"/>
      <c r="H235" s="188">
        <v>106</v>
      </c>
      <c r="I235" s="130" t="str">
        <v>Sheetal</v>
      </c>
      <c r="J235" s="130" t="str">
        <v>HR</v>
      </c>
      <c r="K235" s="130">
        <v>51000</v>
      </c>
      <c r="L235" s="130" t="str">
        <v>Pune</v>
      </c>
    </row>
    <row r="236" spans="1:12" ht="21">
      <c r="A236" s="178"/>
      <c r="B236" s="183">
        <v>107</v>
      </c>
      <c r="C236" s="184" t="s">
        <v>609</v>
      </c>
      <c r="D236" s="184" t="s">
        <v>23</v>
      </c>
      <c r="E236" s="184">
        <v>62000</v>
      </c>
      <c r="F236" s="184" t="s">
        <v>360</v>
      </c>
      <c r="G236" s="178"/>
      <c r="H236" s="188"/>
      <c r="I236" s="130"/>
      <c r="J236" s="130"/>
      <c r="K236" s="130"/>
      <c r="L236" s="130"/>
    </row>
    <row r="237" spans="1:12" ht="21">
      <c r="A237" s="178"/>
      <c r="B237" s="183">
        <v>108</v>
      </c>
      <c r="C237" s="184" t="s">
        <v>612</v>
      </c>
      <c r="D237" s="184" t="s">
        <v>65</v>
      </c>
      <c r="E237" s="184">
        <v>70000</v>
      </c>
      <c r="F237" s="184" t="s">
        <v>602</v>
      </c>
      <c r="G237" s="178"/>
      <c r="H237" s="188"/>
      <c r="I237" s="130"/>
      <c r="J237" s="130"/>
      <c r="K237" s="130"/>
      <c r="L237" s="130"/>
    </row>
    <row r="238" spans="1:12" ht="21">
      <c r="A238" s="178"/>
      <c r="B238" s="183">
        <v>109</v>
      </c>
      <c r="C238" s="184" t="s">
        <v>131</v>
      </c>
      <c r="D238" s="184" t="s">
        <v>65</v>
      </c>
      <c r="E238" s="184">
        <v>58000</v>
      </c>
      <c r="F238" s="184" t="s">
        <v>602</v>
      </c>
      <c r="G238" s="178"/>
      <c r="H238" s="188"/>
      <c r="I238" s="130"/>
      <c r="J238" s="130"/>
      <c r="K238" s="130"/>
      <c r="L238" s="130"/>
    </row>
    <row r="239" spans="1:12" ht="21">
      <c r="A239" s="178"/>
      <c r="B239" s="183">
        <v>110</v>
      </c>
      <c r="C239" s="184" t="s">
        <v>615</v>
      </c>
      <c r="D239" s="184" t="s">
        <v>23</v>
      </c>
      <c r="E239" s="184">
        <v>51000</v>
      </c>
      <c r="F239" s="184" t="s">
        <v>604</v>
      </c>
      <c r="G239" s="178"/>
      <c r="H239" s="188"/>
      <c r="I239" s="130"/>
      <c r="J239" s="130"/>
      <c r="K239" s="130"/>
      <c r="L239" s="130"/>
    </row>
    <row r="240" spans="1:12" ht="21">
      <c r="A240" s="178"/>
      <c r="B240" s="183">
        <v>111</v>
      </c>
      <c r="C240" s="184" t="s">
        <v>627</v>
      </c>
      <c r="D240" s="184" t="s">
        <v>65</v>
      </c>
      <c r="E240" s="184">
        <v>62000</v>
      </c>
      <c r="F240" s="184" t="s">
        <v>360</v>
      </c>
      <c r="G240" s="178"/>
      <c r="H240" s="182"/>
      <c r="I240" s="178"/>
      <c r="J240" s="178"/>
      <c r="K240" s="178"/>
      <c r="L240" s="178"/>
    </row>
    <row r="241" spans="1:12" ht="21">
      <c r="A241" s="178"/>
      <c r="B241" s="183">
        <v>112</v>
      </c>
      <c r="C241" s="184" t="s">
        <v>628</v>
      </c>
      <c r="D241" s="184" t="s">
        <v>29</v>
      </c>
      <c r="E241" s="184">
        <v>70000</v>
      </c>
      <c r="F241" s="184" t="s">
        <v>602</v>
      </c>
      <c r="G241" s="178"/>
      <c r="H241" s="182"/>
      <c r="I241" s="178"/>
      <c r="J241" s="178"/>
      <c r="K241" s="178"/>
      <c r="L241" s="178"/>
    </row>
    <row r="242" spans="1:12" ht="21">
      <c r="A242" s="178"/>
      <c r="B242" s="183">
        <v>113</v>
      </c>
      <c r="C242" s="184" t="s">
        <v>629</v>
      </c>
      <c r="D242" s="184" t="s">
        <v>23</v>
      </c>
      <c r="E242" s="184">
        <v>58000</v>
      </c>
      <c r="F242" s="184" t="s">
        <v>602</v>
      </c>
      <c r="G242" s="178"/>
      <c r="H242" s="182"/>
      <c r="I242" s="178"/>
      <c r="J242" s="178"/>
      <c r="K242" s="178"/>
      <c r="L242" s="178"/>
    </row>
    <row r="243" spans="1:12" ht="21">
      <c r="A243" s="178"/>
      <c r="B243" s="183">
        <v>114</v>
      </c>
      <c r="C243" s="184" t="s">
        <v>630</v>
      </c>
      <c r="D243" s="184" t="s">
        <v>65</v>
      </c>
      <c r="E243" s="184">
        <v>70000</v>
      </c>
      <c r="F243" s="184" t="s">
        <v>360</v>
      </c>
      <c r="G243" s="178"/>
      <c r="H243" s="182"/>
      <c r="I243" s="178"/>
      <c r="J243" s="178"/>
      <c r="K243" s="178"/>
      <c r="L243" s="178"/>
    </row>
    <row r="244" spans="1:12" ht="21">
      <c r="A244" s="178"/>
      <c r="B244" s="182"/>
      <c r="C244" s="178"/>
      <c r="D244" s="178"/>
      <c r="E244" s="178"/>
      <c r="F244" s="178"/>
      <c r="G244" s="178"/>
      <c r="H244" s="182"/>
      <c r="I244" s="178"/>
      <c r="J244" s="178"/>
      <c r="K244" s="178"/>
      <c r="L244" s="178"/>
    </row>
  </sheetData>
  <autoFilter ref="A87:D96" xr:uid="{EDC062DF-C69F-4403-A351-B5B9D5EC95B2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5F3E-3F2D-4A35-AEAD-55E0E175B96B}">
  <sheetPr>
    <tabColor theme="8" tint="0.39997558519241921"/>
  </sheetPr>
  <dimension ref="A1:J18"/>
  <sheetViews>
    <sheetView topLeftCell="A2" workbookViewId="0">
      <selection activeCell="A2" sqref="A2"/>
    </sheetView>
  </sheetViews>
  <sheetFormatPr defaultRowHeight="15"/>
  <cols>
    <col min="1" max="1" width="6.85546875" bestFit="1" customWidth="1"/>
    <col min="2" max="2" width="10.85546875" bestFit="1" customWidth="1"/>
    <col min="3" max="3" width="21" bestFit="1" customWidth="1"/>
    <col min="4" max="4" width="16.42578125" customWidth="1"/>
    <col min="5" max="5" width="9.28515625" customWidth="1"/>
    <col min="6" max="6" width="11" customWidth="1"/>
    <col min="7" max="7" width="13.7109375" style="4" customWidth="1"/>
    <col min="8" max="8" width="18.28515625" customWidth="1"/>
    <col min="10" max="10" width="14" bestFit="1" customWidth="1"/>
  </cols>
  <sheetData>
    <row r="1" spans="1:10">
      <c r="A1" s="37" t="s">
        <v>1</v>
      </c>
      <c r="B1" s="37" t="s">
        <v>686</v>
      </c>
      <c r="C1" s="37" t="s">
        <v>2</v>
      </c>
      <c r="D1" s="37" t="s">
        <v>3</v>
      </c>
      <c r="E1" s="37" t="s">
        <v>4</v>
      </c>
      <c r="F1" s="38" t="s">
        <v>5</v>
      </c>
      <c r="G1" s="37" t="s">
        <v>6</v>
      </c>
      <c r="H1" s="3"/>
      <c r="I1" s="34" t="s">
        <v>1</v>
      </c>
      <c r="J1" s="35">
        <v>1002</v>
      </c>
    </row>
    <row r="2" spans="1:10">
      <c r="A2" s="39">
        <v>1001</v>
      </c>
      <c r="B2" s="39" t="s">
        <v>687</v>
      </c>
      <c r="C2" s="39" t="s">
        <v>688</v>
      </c>
      <c r="D2" s="39">
        <v>37</v>
      </c>
      <c r="E2" s="39" t="s">
        <v>8</v>
      </c>
      <c r="F2" s="40" t="s">
        <v>9</v>
      </c>
      <c r="G2" s="39">
        <v>149030</v>
      </c>
      <c r="I2" s="25" t="s">
        <v>2</v>
      </c>
      <c r="J2" s="23" t="s">
        <v>689</v>
      </c>
    </row>
    <row r="3" spans="1:10">
      <c r="A3" s="39">
        <v>1002</v>
      </c>
      <c r="B3" s="39" t="s">
        <v>690</v>
      </c>
      <c r="C3" s="39" t="s">
        <v>689</v>
      </c>
      <c r="D3" s="39">
        <v>46</v>
      </c>
      <c r="E3" s="39" t="s">
        <v>11</v>
      </c>
      <c r="F3" s="40" t="s">
        <v>12</v>
      </c>
      <c r="G3" s="39">
        <v>182507</v>
      </c>
      <c r="I3" s="25" t="s">
        <v>3</v>
      </c>
      <c r="J3" s="23">
        <v>46</v>
      </c>
    </row>
    <row r="4" spans="1:10">
      <c r="A4" s="39">
        <v>1003</v>
      </c>
      <c r="B4" s="39" t="s">
        <v>691</v>
      </c>
      <c r="C4" s="39" t="s">
        <v>692</v>
      </c>
      <c r="D4" s="39">
        <v>45</v>
      </c>
      <c r="E4" s="39" t="s">
        <v>11</v>
      </c>
      <c r="F4" s="40" t="s">
        <v>15</v>
      </c>
      <c r="G4" s="39">
        <v>100741</v>
      </c>
      <c r="I4" s="25" t="s">
        <v>4</v>
      </c>
      <c r="J4" s="23" t="s">
        <v>11</v>
      </c>
    </row>
    <row r="5" spans="1:10">
      <c r="A5" s="39">
        <v>1004</v>
      </c>
      <c r="B5" s="39" t="s">
        <v>693</v>
      </c>
      <c r="C5" s="39" t="s">
        <v>694</v>
      </c>
      <c r="D5" s="39">
        <v>59</v>
      </c>
      <c r="E5" s="39" t="s">
        <v>8</v>
      </c>
      <c r="F5" s="40" t="s">
        <v>9</v>
      </c>
      <c r="G5" s="39">
        <v>84784</v>
      </c>
      <c r="I5" s="25" t="s">
        <v>5</v>
      </c>
      <c r="J5" s="23" t="s">
        <v>12</v>
      </c>
    </row>
    <row r="6" spans="1:10" ht="27">
      <c r="A6" s="39">
        <v>1005</v>
      </c>
      <c r="B6" s="39" t="s">
        <v>695</v>
      </c>
      <c r="C6" s="39" t="s">
        <v>696</v>
      </c>
      <c r="D6" s="39">
        <v>59</v>
      </c>
      <c r="E6" s="39" t="s">
        <v>8</v>
      </c>
      <c r="F6" s="40" t="s">
        <v>18</v>
      </c>
      <c r="G6" s="39">
        <v>184551</v>
      </c>
      <c r="I6" s="25" t="s">
        <v>6</v>
      </c>
      <c r="J6" s="23">
        <v>182507</v>
      </c>
    </row>
    <row r="7" spans="1:10">
      <c r="A7" s="39">
        <v>1006</v>
      </c>
      <c r="B7" s="39" t="s">
        <v>697</v>
      </c>
      <c r="C7" s="39" t="s">
        <v>698</v>
      </c>
      <c r="D7" s="39">
        <v>48</v>
      </c>
      <c r="E7" s="39" t="s">
        <v>8</v>
      </c>
      <c r="F7" s="40" t="s">
        <v>20</v>
      </c>
      <c r="G7" s="39">
        <v>127313</v>
      </c>
    </row>
    <row r="8" spans="1:10">
      <c r="A8" s="39">
        <v>1007</v>
      </c>
      <c r="B8" s="39" t="s">
        <v>699</v>
      </c>
      <c r="C8" s="39" t="s">
        <v>700</v>
      </c>
      <c r="D8" s="39">
        <v>53</v>
      </c>
      <c r="E8" s="39" t="s">
        <v>11</v>
      </c>
      <c r="F8" s="40" t="s">
        <v>15</v>
      </c>
      <c r="G8" s="39">
        <v>31809</v>
      </c>
    </row>
    <row r="9" spans="1:10">
      <c r="A9" s="39">
        <v>1008</v>
      </c>
      <c r="B9" s="39" t="s">
        <v>701</v>
      </c>
      <c r="C9" s="39" t="s">
        <v>702</v>
      </c>
      <c r="D9" s="39">
        <v>59</v>
      </c>
      <c r="E9" s="39" t="s">
        <v>11</v>
      </c>
      <c r="F9" s="40" t="s">
        <v>23</v>
      </c>
      <c r="G9" s="39">
        <v>39769</v>
      </c>
    </row>
    <row r="10" spans="1:10">
      <c r="A10" s="39">
        <v>1009</v>
      </c>
      <c r="B10" s="39" t="s">
        <v>703</v>
      </c>
      <c r="C10" s="39" t="s">
        <v>704</v>
      </c>
      <c r="D10" s="39">
        <v>26</v>
      </c>
      <c r="E10" s="39" t="s">
        <v>11</v>
      </c>
      <c r="F10" s="40" t="s">
        <v>12</v>
      </c>
      <c r="G10" s="39">
        <v>75792</v>
      </c>
      <c r="I10" s="34" t="s">
        <v>1</v>
      </c>
      <c r="J10" s="23">
        <v>1004</v>
      </c>
    </row>
    <row r="11" spans="1:10">
      <c r="A11" s="39">
        <v>1010</v>
      </c>
      <c r="B11" s="39" t="s">
        <v>705</v>
      </c>
      <c r="C11" s="39" t="s">
        <v>706</v>
      </c>
      <c r="D11" s="39">
        <v>58</v>
      </c>
      <c r="E11" s="39" t="s">
        <v>8</v>
      </c>
      <c r="F11" s="40" t="s">
        <v>9</v>
      </c>
      <c r="G11" s="39">
        <v>148988</v>
      </c>
      <c r="I11" s="36" t="s">
        <v>2</v>
      </c>
      <c r="J11" s="23" t="s">
        <v>694</v>
      </c>
    </row>
    <row r="12" spans="1:10">
      <c r="A12" s="39">
        <v>1011</v>
      </c>
      <c r="B12" s="39" t="s">
        <v>707</v>
      </c>
      <c r="C12" s="39" t="s">
        <v>708</v>
      </c>
      <c r="D12" s="39">
        <v>44</v>
      </c>
      <c r="E12" s="39" t="s">
        <v>11</v>
      </c>
      <c r="F12" s="40" t="s">
        <v>9</v>
      </c>
      <c r="G12" s="39">
        <v>98803</v>
      </c>
      <c r="I12" s="36" t="s">
        <v>3</v>
      </c>
      <c r="J12" s="23">
        <v>59</v>
      </c>
    </row>
    <row r="13" spans="1:10" ht="27">
      <c r="A13" s="39">
        <v>1012</v>
      </c>
      <c r="B13" s="39" t="s">
        <v>709</v>
      </c>
      <c r="C13" s="39" t="s">
        <v>710</v>
      </c>
      <c r="D13" s="39">
        <v>39</v>
      </c>
      <c r="E13" s="39" t="s">
        <v>11</v>
      </c>
      <c r="F13" s="40" t="s">
        <v>18</v>
      </c>
      <c r="G13" s="39">
        <v>172266</v>
      </c>
      <c r="I13" s="36" t="s">
        <v>4</v>
      </c>
      <c r="J13" s="23" t="s">
        <v>8</v>
      </c>
    </row>
    <row r="14" spans="1:10">
      <c r="A14" s="39">
        <v>1013</v>
      </c>
      <c r="B14" s="39" t="s">
        <v>711</v>
      </c>
      <c r="C14" s="39" t="s">
        <v>712</v>
      </c>
      <c r="D14" s="39">
        <v>54</v>
      </c>
      <c r="E14" s="39" t="s">
        <v>8</v>
      </c>
      <c r="F14" s="40" t="s">
        <v>29</v>
      </c>
      <c r="G14" s="39">
        <v>136087</v>
      </c>
      <c r="I14" s="36" t="s">
        <v>5</v>
      </c>
      <c r="J14" s="23" t="s">
        <v>9</v>
      </c>
    </row>
    <row r="15" spans="1:10">
      <c r="A15" s="39">
        <v>1014</v>
      </c>
      <c r="B15" s="39" t="s">
        <v>713</v>
      </c>
      <c r="C15" s="39" t="s">
        <v>714</v>
      </c>
      <c r="D15" s="39">
        <v>34</v>
      </c>
      <c r="E15" s="39" t="s">
        <v>11</v>
      </c>
      <c r="F15" s="40" t="s">
        <v>12</v>
      </c>
      <c r="G15" s="39">
        <v>30479</v>
      </c>
      <c r="I15" s="36" t="s">
        <v>6</v>
      </c>
      <c r="J15" s="23">
        <v>84784</v>
      </c>
    </row>
    <row r="16" spans="1:10">
      <c r="A16" s="39">
        <v>1015</v>
      </c>
      <c r="B16" s="39" t="s">
        <v>715</v>
      </c>
      <c r="C16" s="39" t="s">
        <v>716</v>
      </c>
      <c r="D16" s="39">
        <v>47</v>
      </c>
      <c r="E16" s="39" t="s">
        <v>11</v>
      </c>
      <c r="F16" s="40" t="s">
        <v>9</v>
      </c>
      <c r="G16" s="39">
        <v>150145</v>
      </c>
    </row>
    <row r="17" spans="1:7" ht="27">
      <c r="A17" s="39">
        <v>1016</v>
      </c>
      <c r="B17" s="39" t="s">
        <v>717</v>
      </c>
      <c r="C17" s="39" t="s">
        <v>718</v>
      </c>
      <c r="D17" s="39">
        <v>35</v>
      </c>
      <c r="E17" s="39" t="s">
        <v>11</v>
      </c>
      <c r="F17" s="40" t="s">
        <v>33</v>
      </c>
      <c r="G17" s="39">
        <v>158214</v>
      </c>
    </row>
    <row r="18" spans="1:7">
      <c r="A18" s="39">
        <v>1017</v>
      </c>
      <c r="B18" s="39" t="s">
        <v>719</v>
      </c>
      <c r="C18" s="39" t="s">
        <v>720</v>
      </c>
      <c r="D18" s="39">
        <v>27</v>
      </c>
      <c r="E18" s="39" t="s">
        <v>11</v>
      </c>
      <c r="F18" s="40" t="s">
        <v>35</v>
      </c>
      <c r="G18" s="39">
        <v>121734</v>
      </c>
    </row>
  </sheetData>
  <sheetProtection algorithmName="SHA-512" hashValue="gkLAaf4nOz4l06/fsR5BGW97FdRRZB0oVAQ/KDybPbx43zvouJDoJgmNa1NhUXQRwYygosnN9juN2yccsDGsAw==" saltValue="cuJc33GR1+CgySnEYUtdzA==" spinCount="100000"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E32B-5FDD-4048-8E95-1F680155253D}">
  <sheetPr>
    <tabColor rgb="FFF21D84"/>
  </sheetPr>
  <dimension ref="A2:N16"/>
  <sheetViews>
    <sheetView workbookViewId="0">
      <selection activeCell="K18" sqref="K18"/>
    </sheetView>
  </sheetViews>
  <sheetFormatPr defaultRowHeight="15"/>
  <cols>
    <col min="2" max="2" width="9.85546875" bestFit="1" customWidth="1"/>
    <col min="4" max="4" width="36.5703125" bestFit="1" customWidth="1"/>
    <col min="5" max="5" width="11" customWidth="1"/>
    <col min="6" max="6" width="10.7109375" bestFit="1" customWidth="1"/>
    <col min="8" max="8" width="9.85546875" bestFit="1" customWidth="1"/>
    <col min="14" max="14" width="9.85546875" bestFit="1" customWidth="1"/>
  </cols>
  <sheetData>
    <row r="2" spans="1:14">
      <c r="A2" s="23" t="s">
        <v>721</v>
      </c>
      <c r="B2" s="47">
        <v>44044</v>
      </c>
      <c r="C2" s="26"/>
      <c r="E2" s="23" t="s">
        <v>722</v>
      </c>
      <c r="F2" s="47">
        <v>44045</v>
      </c>
      <c r="G2" s="26"/>
      <c r="I2" s="23" t="s">
        <v>723</v>
      </c>
      <c r="J2" s="47">
        <v>44046</v>
      </c>
      <c r="K2" s="26"/>
    </row>
    <row r="3" spans="1:14">
      <c r="A3" s="48" t="s">
        <v>724</v>
      </c>
      <c r="B3" s="48" t="s">
        <v>169</v>
      </c>
      <c r="C3" s="48" t="s">
        <v>725</v>
      </c>
      <c r="E3" s="48" t="s">
        <v>724</v>
      </c>
      <c r="F3" s="48" t="s">
        <v>169</v>
      </c>
      <c r="G3" s="48" t="s">
        <v>725</v>
      </c>
      <c r="I3" s="48" t="s">
        <v>724</v>
      </c>
      <c r="J3" s="48" t="s">
        <v>169</v>
      </c>
      <c r="K3" s="48" t="s">
        <v>725</v>
      </c>
    </row>
    <row r="4" spans="1:14">
      <c r="A4" s="49">
        <v>1001</v>
      </c>
      <c r="B4" s="49" t="s">
        <v>189</v>
      </c>
      <c r="C4" s="49">
        <v>20</v>
      </c>
      <c r="E4" s="49">
        <v>1011</v>
      </c>
      <c r="F4" s="49" t="s">
        <v>726</v>
      </c>
      <c r="G4" s="49">
        <v>45</v>
      </c>
      <c r="I4" s="49">
        <v>1021</v>
      </c>
      <c r="J4" s="49" t="s">
        <v>727</v>
      </c>
      <c r="K4" s="49">
        <v>67</v>
      </c>
    </row>
    <row r="5" spans="1:14">
      <c r="A5" s="49">
        <v>1002</v>
      </c>
      <c r="B5" s="49" t="s">
        <v>727</v>
      </c>
      <c r="C5" s="49">
        <v>25</v>
      </c>
      <c r="E5" s="49">
        <v>1012</v>
      </c>
      <c r="F5" s="49" t="s">
        <v>172</v>
      </c>
      <c r="G5" s="49">
        <v>35</v>
      </c>
      <c r="I5" s="49">
        <v>1022</v>
      </c>
      <c r="J5" s="49" t="s">
        <v>726</v>
      </c>
      <c r="K5" s="49">
        <v>87</v>
      </c>
    </row>
    <row r="6" spans="1:14">
      <c r="A6" s="49">
        <v>1003</v>
      </c>
      <c r="B6" s="49" t="s">
        <v>172</v>
      </c>
      <c r="C6" s="49">
        <v>30</v>
      </c>
      <c r="E6" s="49">
        <v>1013</v>
      </c>
      <c r="F6" s="49" t="s">
        <v>189</v>
      </c>
      <c r="G6" s="49">
        <v>25</v>
      </c>
      <c r="I6" s="49">
        <v>1023</v>
      </c>
      <c r="J6" s="49" t="s">
        <v>728</v>
      </c>
      <c r="K6" s="49">
        <v>90</v>
      </c>
      <c r="M6" s="23" t="s">
        <v>729</v>
      </c>
      <c r="N6" s="23">
        <v>1029</v>
      </c>
    </row>
    <row r="7" spans="1:14">
      <c r="A7" s="49">
        <v>1004</v>
      </c>
      <c r="B7" s="49" t="s">
        <v>172</v>
      </c>
      <c r="C7" s="49">
        <v>35</v>
      </c>
      <c r="E7" s="49">
        <v>1014</v>
      </c>
      <c r="F7" s="49" t="s">
        <v>172</v>
      </c>
      <c r="G7" s="49">
        <v>25</v>
      </c>
      <c r="I7" s="49">
        <v>1024</v>
      </c>
      <c r="J7" s="49" t="s">
        <v>727</v>
      </c>
      <c r="K7" s="49">
        <v>35</v>
      </c>
      <c r="M7" s="23" t="s">
        <v>169</v>
      </c>
      <c r="N7" s="23" t="str">
        <f>VLOOKUP($N$6,IF($N$6&lt;=1010,DATA1,IF($N$6&lt;=1020,DATA2,IF($N$6&lt;=1030,DATA3))),2,0)</f>
        <v>SSD</v>
      </c>
    </row>
    <row r="8" spans="1:14">
      <c r="A8" s="49">
        <v>1005</v>
      </c>
      <c r="B8" s="49" t="s">
        <v>728</v>
      </c>
      <c r="C8" s="49">
        <v>40</v>
      </c>
      <c r="E8" s="49">
        <v>1015</v>
      </c>
      <c r="F8" s="49" t="s">
        <v>189</v>
      </c>
      <c r="G8" s="49">
        <v>25</v>
      </c>
      <c r="I8" s="49">
        <v>1025</v>
      </c>
      <c r="J8" s="49" t="s">
        <v>172</v>
      </c>
      <c r="K8" s="49">
        <v>40</v>
      </c>
      <c r="M8" s="23" t="s">
        <v>725</v>
      </c>
      <c r="N8" s="23">
        <f>VLOOKUP($N$6,IF($N$6&lt;=1010,DATA1,IF($N$6&lt;=1020,DATA2,IF($N$6&lt;=1030,DATA3))),3,0)</f>
        <v>98</v>
      </c>
    </row>
    <row r="9" spans="1:14">
      <c r="A9" s="49">
        <v>1006</v>
      </c>
      <c r="B9" s="49" t="s">
        <v>730</v>
      </c>
      <c r="C9" s="49">
        <v>45</v>
      </c>
      <c r="E9" s="49">
        <v>1016</v>
      </c>
      <c r="F9" s="49" t="s">
        <v>730</v>
      </c>
      <c r="G9" s="49">
        <v>25</v>
      </c>
      <c r="I9" s="49">
        <v>1026</v>
      </c>
      <c r="J9" s="49" t="s">
        <v>730</v>
      </c>
      <c r="K9" s="49">
        <v>23</v>
      </c>
    </row>
    <row r="10" spans="1:14">
      <c r="A10" s="49">
        <v>1007</v>
      </c>
      <c r="B10" s="49" t="s">
        <v>731</v>
      </c>
      <c r="C10" s="49">
        <v>50</v>
      </c>
      <c r="E10" s="49">
        <v>1017</v>
      </c>
      <c r="F10" s="49" t="s">
        <v>731</v>
      </c>
      <c r="G10" s="49">
        <v>25</v>
      </c>
      <c r="I10" s="49">
        <v>1027</v>
      </c>
      <c r="J10" s="49" t="s">
        <v>731</v>
      </c>
      <c r="K10" s="49">
        <v>65</v>
      </c>
    </row>
    <row r="11" spans="1:14">
      <c r="A11" s="49">
        <v>1008</v>
      </c>
      <c r="B11" s="49" t="s">
        <v>732</v>
      </c>
      <c r="C11" s="49">
        <v>55</v>
      </c>
      <c r="E11" s="49">
        <v>1018</v>
      </c>
      <c r="F11" s="49" t="s">
        <v>730</v>
      </c>
      <c r="G11" s="49">
        <v>25</v>
      </c>
      <c r="I11" s="49">
        <v>1028</v>
      </c>
      <c r="J11" s="49" t="s">
        <v>728</v>
      </c>
      <c r="K11" s="49">
        <v>87</v>
      </c>
    </row>
    <row r="12" spans="1:14">
      <c r="A12" s="49">
        <v>1009</v>
      </c>
      <c r="B12" s="49" t="s">
        <v>731</v>
      </c>
      <c r="C12" s="49">
        <v>60</v>
      </c>
      <c r="E12" s="49">
        <v>1019</v>
      </c>
      <c r="F12" s="49" t="s">
        <v>726</v>
      </c>
      <c r="G12" s="49">
        <v>34</v>
      </c>
      <c r="I12" s="49">
        <v>1029</v>
      </c>
      <c r="J12" s="49" t="s">
        <v>732</v>
      </c>
      <c r="K12" s="49">
        <v>98</v>
      </c>
    </row>
    <row r="13" spans="1:14">
      <c r="A13" s="49">
        <v>1010</v>
      </c>
      <c r="B13" s="49" t="s">
        <v>727</v>
      </c>
      <c r="C13" s="49">
        <v>65</v>
      </c>
      <c r="E13" s="49">
        <v>1020</v>
      </c>
      <c r="F13" s="49" t="s">
        <v>172</v>
      </c>
      <c r="G13" s="49">
        <v>55</v>
      </c>
      <c r="I13" s="49">
        <v>1030</v>
      </c>
      <c r="J13" s="49" t="s">
        <v>189</v>
      </c>
      <c r="K13" s="49">
        <v>70</v>
      </c>
    </row>
    <row r="16" spans="1:14" ht="300.75">
      <c r="D16" s="89" t="s">
        <v>733</v>
      </c>
      <c r="H16" s="88"/>
    </row>
  </sheetData>
  <sheetProtection sheet="1" objects="1" scenarios="1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6F59-55B7-4926-A631-C9A98CAC1F09}">
  <sheetPr>
    <tabColor rgb="FFFFFF00"/>
  </sheetPr>
  <dimension ref="A1:AB261"/>
  <sheetViews>
    <sheetView topLeftCell="I120" workbookViewId="0">
      <selection activeCell="AB107" sqref="AB107"/>
    </sheetView>
  </sheetViews>
  <sheetFormatPr defaultRowHeight="15"/>
  <cols>
    <col min="1" max="1" width="17.85546875" customWidth="1"/>
    <col min="2" max="2" width="24.85546875" customWidth="1"/>
    <col min="3" max="3" width="26.5703125" customWidth="1"/>
    <col min="4" max="4" width="27" customWidth="1"/>
    <col min="5" max="5" width="20.5703125" customWidth="1"/>
    <col min="6" max="6" width="22.85546875" customWidth="1"/>
    <col min="7" max="7" width="17.28515625" customWidth="1"/>
    <col min="8" max="8" width="15.7109375" customWidth="1"/>
    <col min="9" max="9" width="14.5703125" customWidth="1"/>
    <col min="10" max="10" width="24.7109375" customWidth="1"/>
    <col min="11" max="11" width="23" customWidth="1"/>
    <col min="12" max="12" width="20.28515625" customWidth="1"/>
    <col min="13" max="13" width="17.28515625" customWidth="1"/>
    <col min="14" max="14" width="16.28515625" customWidth="1"/>
    <col min="15" max="15" width="14" customWidth="1"/>
    <col min="16" max="16" width="16.28515625" customWidth="1"/>
    <col min="18" max="18" width="15.85546875" bestFit="1" customWidth="1"/>
    <col min="19" max="19" width="11.5703125" bestFit="1" customWidth="1"/>
    <col min="20" max="20" width="12.85546875" customWidth="1"/>
    <col min="21" max="21" width="14.85546875" customWidth="1"/>
    <col min="22" max="25" width="13.28515625" bestFit="1" customWidth="1"/>
    <col min="27" max="27" width="18.85546875" customWidth="1"/>
    <col min="28" max="28" width="15.42578125" customWidth="1"/>
  </cols>
  <sheetData>
    <row r="1" spans="1:13" ht="46.5">
      <c r="A1" s="99"/>
      <c r="B1" s="98" t="s">
        <v>734</v>
      </c>
      <c r="C1" s="99"/>
      <c r="D1" s="99"/>
      <c r="E1" s="99"/>
      <c r="F1" s="99"/>
      <c r="G1" s="99"/>
      <c r="H1" s="99"/>
    </row>
    <row r="2" spans="1:13" ht="24">
      <c r="A2" s="100"/>
      <c r="B2" s="100"/>
      <c r="C2" s="100"/>
      <c r="D2" s="100"/>
      <c r="E2" s="100"/>
      <c r="F2" s="100"/>
      <c r="G2" s="100"/>
    </row>
    <row r="3" spans="1:13" ht="24">
      <c r="A3" s="101" t="s">
        <v>279</v>
      </c>
      <c r="B3" s="101" t="s">
        <v>735</v>
      </c>
      <c r="C3" s="101" t="s">
        <v>736</v>
      </c>
      <c r="D3" s="101" t="s">
        <v>737</v>
      </c>
      <c r="E3" s="101" t="s">
        <v>257</v>
      </c>
      <c r="F3" s="101" t="s">
        <v>738</v>
      </c>
      <c r="G3" s="101" t="s">
        <v>239</v>
      </c>
    </row>
    <row r="4" spans="1:13" ht="24">
      <c r="A4" s="102" t="s">
        <v>739</v>
      </c>
      <c r="B4" s="102" t="s">
        <v>740</v>
      </c>
      <c r="C4" s="102" t="s">
        <v>741</v>
      </c>
      <c r="D4" s="102" t="s">
        <v>742</v>
      </c>
      <c r="E4" s="102">
        <v>2</v>
      </c>
      <c r="F4" s="102">
        <v>1380</v>
      </c>
      <c r="G4" s="102">
        <v>2760</v>
      </c>
      <c r="I4" s="101" t="s">
        <v>279</v>
      </c>
      <c r="J4" s="101" t="s">
        <v>239</v>
      </c>
      <c r="K4" s="100"/>
      <c r="L4" s="101"/>
      <c r="M4" s="101"/>
    </row>
    <row r="5" spans="1:13" ht="24">
      <c r="A5" s="102" t="s">
        <v>743</v>
      </c>
      <c r="B5" s="102" t="s">
        <v>669</v>
      </c>
      <c r="C5" s="102" t="s">
        <v>744</v>
      </c>
      <c r="D5" s="102" t="s">
        <v>745</v>
      </c>
      <c r="E5" s="102">
        <v>2</v>
      </c>
      <c r="F5" s="102">
        <v>5848</v>
      </c>
      <c r="G5" s="102">
        <v>11697</v>
      </c>
      <c r="I5" s="102" t="s">
        <v>746</v>
      </c>
      <c r="J5" s="102">
        <f>_xlfn.XLOOKUP(I5,A3:A12,G3:G12)</f>
        <v>1400</v>
      </c>
      <c r="K5" s="100"/>
      <c r="L5" s="102"/>
      <c r="M5" s="102"/>
    </row>
    <row r="6" spans="1:13" ht="24">
      <c r="A6" s="102" t="s">
        <v>747</v>
      </c>
      <c r="B6" s="102" t="s">
        <v>748</v>
      </c>
      <c r="C6" s="102" t="s">
        <v>749</v>
      </c>
      <c r="D6" s="102" t="s">
        <v>750</v>
      </c>
      <c r="E6" s="102">
        <v>1</v>
      </c>
      <c r="F6" s="102">
        <v>15208</v>
      </c>
      <c r="G6" s="102">
        <v>15208</v>
      </c>
      <c r="I6" s="100"/>
      <c r="J6" s="100"/>
      <c r="K6" s="100"/>
      <c r="L6" s="100"/>
      <c r="M6" s="100"/>
    </row>
    <row r="7" spans="1:13" ht="24">
      <c r="A7" s="102" t="s">
        <v>747</v>
      </c>
      <c r="B7" s="102" t="s">
        <v>751</v>
      </c>
      <c r="C7" s="102" t="s">
        <v>752</v>
      </c>
      <c r="D7" s="102" t="s">
        <v>753</v>
      </c>
      <c r="E7" s="102">
        <v>2</v>
      </c>
      <c r="F7" s="102">
        <v>156</v>
      </c>
      <c r="G7" s="102">
        <v>313</v>
      </c>
      <c r="I7" s="101" t="s">
        <v>736</v>
      </c>
      <c r="J7" s="101" t="s">
        <v>737</v>
      </c>
      <c r="K7" s="100"/>
      <c r="L7" s="100"/>
      <c r="M7" s="100"/>
    </row>
    <row r="8" spans="1:13" ht="24">
      <c r="A8" s="102" t="s">
        <v>754</v>
      </c>
      <c r="B8" s="102" t="s">
        <v>755</v>
      </c>
      <c r="C8" s="102" t="s">
        <v>756</v>
      </c>
      <c r="D8" s="102" t="s">
        <v>757</v>
      </c>
      <c r="E8" s="102">
        <v>3</v>
      </c>
      <c r="F8" s="102">
        <v>280</v>
      </c>
      <c r="G8" s="102">
        <v>840</v>
      </c>
      <c r="I8" s="102" t="s">
        <v>758</v>
      </c>
      <c r="J8" s="102" t="e">
        <f>_xlfn.XLOOKUP(I8,C3:C12,D3:D12)</f>
        <v>#N/A</v>
      </c>
      <c r="K8" s="100"/>
      <c r="L8" s="100"/>
      <c r="M8" s="100"/>
    </row>
    <row r="9" spans="1:13" ht="24">
      <c r="A9" s="102" t="s">
        <v>759</v>
      </c>
      <c r="B9" s="102" t="s">
        <v>760</v>
      </c>
      <c r="C9" s="102" t="s">
        <v>761</v>
      </c>
      <c r="D9" s="102" t="s">
        <v>742</v>
      </c>
      <c r="E9" s="102">
        <v>4</v>
      </c>
      <c r="F9" s="102">
        <v>1380</v>
      </c>
      <c r="G9" s="102">
        <v>5520</v>
      </c>
    </row>
    <row r="10" spans="1:13" ht="24">
      <c r="A10" s="102" t="s">
        <v>762</v>
      </c>
      <c r="B10" s="102" t="s">
        <v>763</v>
      </c>
      <c r="C10" s="102" t="s">
        <v>764</v>
      </c>
      <c r="D10" s="102" t="s">
        <v>645</v>
      </c>
      <c r="E10" s="102">
        <v>4</v>
      </c>
      <c r="F10" s="102">
        <v>27025</v>
      </c>
      <c r="G10" s="102">
        <v>108100</v>
      </c>
      <c r="I10" s="101" t="s">
        <v>736</v>
      </c>
      <c r="J10" s="101" t="s">
        <v>735</v>
      </c>
    </row>
    <row r="11" spans="1:13" ht="24">
      <c r="A11" s="102" t="s">
        <v>746</v>
      </c>
      <c r="B11" s="102" t="s">
        <v>669</v>
      </c>
      <c r="C11" s="102" t="s">
        <v>765</v>
      </c>
      <c r="D11" s="102" t="s">
        <v>766</v>
      </c>
      <c r="E11" s="102">
        <v>1</v>
      </c>
      <c r="F11" s="102">
        <v>1400</v>
      </c>
      <c r="G11" s="102">
        <v>1400</v>
      </c>
      <c r="I11" s="102" t="s">
        <v>749</v>
      </c>
      <c r="J11" s="102" t="str">
        <f>_xlfn.XLOOKUP(I11,C3:C12,B3:B12)</f>
        <v>Rahul Mehta</v>
      </c>
    </row>
    <row r="12" spans="1:13" ht="24">
      <c r="A12" s="102" t="s">
        <v>767</v>
      </c>
      <c r="B12" s="102" t="s">
        <v>740</v>
      </c>
      <c r="C12" s="102" t="s">
        <v>768</v>
      </c>
      <c r="D12" s="102" t="s">
        <v>757</v>
      </c>
      <c r="E12" s="102">
        <v>1</v>
      </c>
      <c r="F12" s="102">
        <v>280</v>
      </c>
      <c r="G12" s="102">
        <v>280</v>
      </c>
    </row>
    <row r="15" spans="1:13" ht="46.5">
      <c r="A15" s="99"/>
      <c r="B15" s="98" t="s">
        <v>769</v>
      </c>
      <c r="C15" s="99"/>
      <c r="D15" s="99"/>
      <c r="E15" s="99"/>
      <c r="F15" s="99"/>
      <c r="G15" s="99"/>
      <c r="H15" s="99"/>
    </row>
    <row r="17" spans="1:15" ht="24">
      <c r="A17" s="101" t="s">
        <v>279</v>
      </c>
      <c r="B17" s="101" t="s">
        <v>735</v>
      </c>
      <c r="C17" s="101" t="s">
        <v>736</v>
      </c>
      <c r="D17" s="101" t="s">
        <v>737</v>
      </c>
      <c r="E17" s="101" t="s">
        <v>257</v>
      </c>
      <c r="F17" s="101" t="s">
        <v>738</v>
      </c>
      <c r="G17" s="101" t="s">
        <v>239</v>
      </c>
    </row>
    <row r="18" spans="1:15" ht="24">
      <c r="A18" s="102" t="s">
        <v>739</v>
      </c>
      <c r="B18" s="102" t="s">
        <v>740</v>
      </c>
      <c r="C18" s="102" t="s">
        <v>741</v>
      </c>
      <c r="D18" s="102" t="s">
        <v>742</v>
      </c>
      <c r="E18" s="102">
        <v>2</v>
      </c>
      <c r="F18" s="102">
        <v>1380</v>
      </c>
      <c r="G18" s="102">
        <v>2760</v>
      </c>
    </row>
    <row r="19" spans="1:15" ht="24">
      <c r="A19" s="102" t="s">
        <v>743</v>
      </c>
      <c r="B19" s="102" t="s">
        <v>669</v>
      </c>
      <c r="C19" s="102" t="s">
        <v>744</v>
      </c>
      <c r="D19" s="102" t="s">
        <v>745</v>
      </c>
      <c r="E19" s="102">
        <v>2</v>
      </c>
      <c r="F19" s="102">
        <v>5848</v>
      </c>
      <c r="G19" s="102">
        <v>11697</v>
      </c>
      <c r="I19" s="101" t="s">
        <v>279</v>
      </c>
      <c r="J19" s="101" t="s">
        <v>735</v>
      </c>
      <c r="K19" s="101" t="s">
        <v>736</v>
      </c>
      <c r="L19" s="101" t="s">
        <v>737</v>
      </c>
      <c r="M19" s="101" t="s">
        <v>257</v>
      </c>
      <c r="N19" s="101" t="s">
        <v>738</v>
      </c>
      <c r="O19" s="101" t="s">
        <v>239</v>
      </c>
    </row>
    <row r="20" spans="1:15" ht="24">
      <c r="A20" s="102" t="s">
        <v>747</v>
      </c>
      <c r="B20" s="102" t="s">
        <v>748</v>
      </c>
      <c r="C20" s="102" t="s">
        <v>749</v>
      </c>
      <c r="D20" s="102" t="s">
        <v>750</v>
      </c>
      <c r="E20" s="102">
        <v>1</v>
      </c>
      <c r="F20" s="102">
        <v>15208</v>
      </c>
      <c r="G20" s="102">
        <v>15208</v>
      </c>
      <c r="I20" s="102" t="s">
        <v>754</v>
      </c>
      <c r="J20" s="102" t="str" cm="1">
        <f t="array" ref="J20:O20">_xlfn.XLOOKUP(I20,A17:A26,B17:G26)</f>
        <v>Pooja Rao</v>
      </c>
      <c r="K20" s="102" t="str">
        <v>CU05</v>
      </c>
      <c r="L20" s="102" t="str">
        <v>Charger</v>
      </c>
      <c r="M20" s="102">
        <v>3</v>
      </c>
      <c r="N20" s="102">
        <v>280</v>
      </c>
      <c r="O20" s="102">
        <v>840</v>
      </c>
    </row>
    <row r="21" spans="1:15" ht="24">
      <c r="A21" s="102" t="s">
        <v>747</v>
      </c>
      <c r="B21" s="102" t="s">
        <v>751</v>
      </c>
      <c r="C21" s="102" t="s">
        <v>752</v>
      </c>
      <c r="D21" s="102" t="s">
        <v>753</v>
      </c>
      <c r="E21" s="102">
        <v>2</v>
      </c>
      <c r="F21" s="102">
        <v>156</v>
      </c>
      <c r="G21" s="102">
        <v>313</v>
      </c>
      <c r="I21" s="100"/>
      <c r="J21" s="100"/>
      <c r="K21" s="100"/>
      <c r="L21" s="100"/>
      <c r="M21" s="100"/>
      <c r="N21" s="100"/>
      <c r="O21" s="100"/>
    </row>
    <row r="22" spans="1:15" ht="24">
      <c r="A22" s="102" t="s">
        <v>754</v>
      </c>
      <c r="B22" s="102" t="s">
        <v>755</v>
      </c>
      <c r="C22" s="102" t="s">
        <v>756</v>
      </c>
      <c r="D22" s="102" t="s">
        <v>757</v>
      </c>
      <c r="E22" s="102">
        <v>3</v>
      </c>
      <c r="F22" s="102">
        <v>280</v>
      </c>
      <c r="G22" s="102">
        <v>840</v>
      </c>
      <c r="I22" s="101" t="s">
        <v>736</v>
      </c>
      <c r="J22" s="101" t="s">
        <v>737</v>
      </c>
      <c r="K22" s="101" t="s">
        <v>257</v>
      </c>
      <c r="L22" s="101" t="s">
        <v>738</v>
      </c>
      <c r="M22" s="101" t="s">
        <v>239</v>
      </c>
      <c r="N22" s="100"/>
      <c r="O22" s="100"/>
    </row>
    <row r="23" spans="1:15" ht="24">
      <c r="A23" s="102" t="s">
        <v>759</v>
      </c>
      <c r="B23" s="102" t="s">
        <v>760</v>
      </c>
      <c r="C23" s="102" t="s">
        <v>761</v>
      </c>
      <c r="D23" s="102" t="s">
        <v>742</v>
      </c>
      <c r="E23" s="102">
        <v>4</v>
      </c>
      <c r="F23" s="102">
        <v>1380</v>
      </c>
      <c r="G23" s="102">
        <v>5520</v>
      </c>
      <c r="I23" s="102" t="s">
        <v>756</v>
      </c>
      <c r="J23" s="102" t="str" cm="1">
        <f t="array" ref="J23:M23">_xlfn.XLOOKUP(I23,C17:C26,D17:G26)</f>
        <v>Charger</v>
      </c>
      <c r="K23" s="102">
        <v>3</v>
      </c>
      <c r="L23" s="102">
        <v>280</v>
      </c>
      <c r="M23" s="102">
        <v>840</v>
      </c>
      <c r="N23" s="100"/>
      <c r="O23" s="100"/>
    </row>
    <row r="24" spans="1:15" ht="24">
      <c r="A24" s="102" t="s">
        <v>762</v>
      </c>
      <c r="B24" s="102" t="s">
        <v>763</v>
      </c>
      <c r="C24" s="102" t="s">
        <v>764</v>
      </c>
      <c r="D24" s="102" t="s">
        <v>645</v>
      </c>
      <c r="E24" s="102">
        <v>4</v>
      </c>
      <c r="F24" s="102">
        <v>27025</v>
      </c>
      <c r="G24" s="102">
        <v>108100</v>
      </c>
    </row>
    <row r="25" spans="1:15" ht="24">
      <c r="A25" s="102" t="s">
        <v>746</v>
      </c>
      <c r="B25" s="102" t="s">
        <v>669</v>
      </c>
      <c r="C25" s="102" t="s">
        <v>765</v>
      </c>
      <c r="D25" s="102" t="s">
        <v>766</v>
      </c>
      <c r="E25" s="102">
        <v>1</v>
      </c>
      <c r="F25" s="102">
        <v>1400</v>
      </c>
      <c r="G25" s="102">
        <v>1400</v>
      </c>
    </row>
    <row r="26" spans="1:15" ht="24">
      <c r="A26" s="102" t="s">
        <v>767</v>
      </c>
      <c r="B26" s="102" t="s">
        <v>740</v>
      </c>
      <c r="C26" s="102" t="s">
        <v>768</v>
      </c>
      <c r="D26" s="102" t="s">
        <v>757</v>
      </c>
      <c r="E26" s="102">
        <v>1</v>
      </c>
      <c r="F26" s="102">
        <v>280</v>
      </c>
      <c r="G26" s="102">
        <v>280</v>
      </c>
    </row>
    <row r="29" spans="1:15" ht="46.5">
      <c r="A29" s="98" t="s">
        <v>770</v>
      </c>
      <c r="B29" s="99"/>
      <c r="C29" s="99"/>
      <c r="D29" s="99"/>
      <c r="E29" s="99"/>
      <c r="F29" s="99"/>
      <c r="G29" s="99"/>
    </row>
    <row r="30" spans="1:15" ht="24">
      <c r="A30" s="100"/>
      <c r="B30" s="100"/>
      <c r="C30" s="100"/>
      <c r="D30" s="100"/>
      <c r="E30" s="100"/>
      <c r="F30" s="100"/>
      <c r="G30" s="100"/>
    </row>
    <row r="31" spans="1:15" ht="24">
      <c r="A31" s="101" t="s">
        <v>279</v>
      </c>
      <c r="B31" s="101" t="s">
        <v>735</v>
      </c>
      <c r="C31" s="101" t="s">
        <v>736</v>
      </c>
      <c r="D31" s="101" t="s">
        <v>737</v>
      </c>
      <c r="E31" s="101" t="s">
        <v>257</v>
      </c>
      <c r="F31" s="101" t="s">
        <v>738</v>
      </c>
      <c r="G31" s="101" t="s">
        <v>239</v>
      </c>
    </row>
    <row r="32" spans="1:15" ht="24">
      <c r="A32" s="102" t="s">
        <v>739</v>
      </c>
      <c r="B32" s="102" t="s">
        <v>740</v>
      </c>
      <c r="C32" s="102" t="s">
        <v>741</v>
      </c>
      <c r="D32" s="102" t="s">
        <v>742</v>
      </c>
      <c r="E32" s="102">
        <v>2</v>
      </c>
      <c r="F32" s="102">
        <v>1380</v>
      </c>
      <c r="G32" s="102">
        <v>2760</v>
      </c>
      <c r="I32" s="101" t="s">
        <v>279</v>
      </c>
      <c r="J32" s="101" t="s">
        <v>735</v>
      </c>
      <c r="K32" s="101" t="s">
        <v>736</v>
      </c>
      <c r="L32" s="101" t="s">
        <v>737</v>
      </c>
      <c r="M32" s="101" t="s">
        <v>257</v>
      </c>
      <c r="N32" s="101" t="s">
        <v>738</v>
      </c>
      <c r="O32" s="101" t="s">
        <v>239</v>
      </c>
    </row>
    <row r="33" spans="1:15" ht="24">
      <c r="A33" s="102" t="s">
        <v>743</v>
      </c>
      <c r="B33" s="102" t="s">
        <v>669</v>
      </c>
      <c r="C33" s="102" t="s">
        <v>744</v>
      </c>
      <c r="D33" s="102" t="s">
        <v>745</v>
      </c>
      <c r="E33" s="102">
        <v>2</v>
      </c>
      <c r="F33" s="102">
        <v>5848</v>
      </c>
      <c r="G33" s="102">
        <v>11697</v>
      </c>
      <c r="I33" s="102" t="s">
        <v>754</v>
      </c>
      <c r="J33" s="102" t="str" cm="1">
        <f t="array" ref="J33:O33">_xlfn.XLOOKUP(I33,$A$31:$A$39,$B$31:$G$39)</f>
        <v>Pooja Rao</v>
      </c>
      <c r="K33" s="102" t="str">
        <v>CU05</v>
      </c>
      <c r="L33" s="102" t="str">
        <v>Charger</v>
      </c>
      <c r="M33" s="102">
        <v>3</v>
      </c>
      <c r="N33" s="102">
        <v>280</v>
      </c>
      <c r="O33" s="102">
        <v>840</v>
      </c>
    </row>
    <row r="34" spans="1:15" ht="24">
      <c r="A34" s="102" t="s">
        <v>747</v>
      </c>
      <c r="B34" s="102" t="s">
        <v>748</v>
      </c>
      <c r="C34" s="102" t="s">
        <v>749</v>
      </c>
      <c r="D34" s="102" t="s">
        <v>750</v>
      </c>
      <c r="E34" s="102">
        <v>1</v>
      </c>
      <c r="F34" s="102">
        <v>15208</v>
      </c>
      <c r="G34" s="102">
        <v>15208</v>
      </c>
      <c r="I34" s="102" t="s">
        <v>743</v>
      </c>
      <c r="J34" s="102" t="str" cm="1">
        <f t="array" ref="J34:O34">_xlfn.XLOOKUP(I34,$A$31:$A$39,$B$31:$G$39)</f>
        <v>Priya Singh</v>
      </c>
      <c r="K34" s="102" t="str">
        <v>CU02</v>
      </c>
      <c r="L34" s="102" t="str">
        <v>Chair</v>
      </c>
      <c r="M34" s="102">
        <v>2</v>
      </c>
      <c r="N34" s="102">
        <v>5848</v>
      </c>
      <c r="O34" s="102">
        <v>11697</v>
      </c>
    </row>
    <row r="35" spans="1:15" ht="24">
      <c r="A35" s="102" t="s">
        <v>747</v>
      </c>
      <c r="B35" s="102" t="s">
        <v>751</v>
      </c>
      <c r="C35" s="102" t="s">
        <v>752</v>
      </c>
      <c r="D35" s="102" t="s">
        <v>753</v>
      </c>
      <c r="E35" s="102">
        <v>2</v>
      </c>
      <c r="F35" s="102">
        <v>156</v>
      </c>
      <c r="G35" s="102">
        <v>313</v>
      </c>
      <c r="I35" s="102" t="s">
        <v>762</v>
      </c>
      <c r="J35" s="102" t="str" cm="1">
        <f t="array" ref="J35:O35">_xlfn.XLOOKUP(I35,$A$31:$A$39,$B$31:$G$39)</f>
        <v>Sneha Verma</v>
      </c>
      <c r="K35" s="102" t="str">
        <v>CU07</v>
      </c>
      <c r="L35" s="102" t="str">
        <v>Tablet</v>
      </c>
      <c r="M35" s="102">
        <v>4</v>
      </c>
      <c r="N35" s="102">
        <v>27025</v>
      </c>
      <c r="O35" s="102">
        <v>108100</v>
      </c>
    </row>
    <row r="36" spans="1:15" ht="24">
      <c r="A36" s="102" t="s">
        <v>754</v>
      </c>
      <c r="B36" s="102" t="s">
        <v>755</v>
      </c>
      <c r="C36" s="102" t="s">
        <v>756</v>
      </c>
      <c r="D36" s="102" t="s">
        <v>757</v>
      </c>
      <c r="E36" s="102">
        <v>3</v>
      </c>
      <c r="F36" s="102">
        <v>280</v>
      </c>
      <c r="G36" s="102">
        <v>840</v>
      </c>
      <c r="I36" s="100"/>
      <c r="J36" s="100"/>
      <c r="K36" s="100"/>
      <c r="L36" s="100"/>
      <c r="M36" s="100"/>
      <c r="N36" s="100"/>
      <c r="O36" s="100"/>
    </row>
    <row r="37" spans="1:15" ht="24">
      <c r="A37" s="102" t="s">
        <v>759</v>
      </c>
      <c r="B37" s="102" t="s">
        <v>760</v>
      </c>
      <c r="C37" s="102" t="s">
        <v>761</v>
      </c>
      <c r="D37" s="102" t="s">
        <v>742</v>
      </c>
      <c r="E37" s="102">
        <v>4</v>
      </c>
      <c r="F37" s="102">
        <v>1380</v>
      </c>
      <c r="G37" s="102">
        <v>5520</v>
      </c>
      <c r="I37" s="101" t="s">
        <v>736</v>
      </c>
      <c r="J37" s="101" t="s">
        <v>737</v>
      </c>
      <c r="K37" s="101" t="s">
        <v>257</v>
      </c>
      <c r="L37" s="101" t="s">
        <v>738</v>
      </c>
      <c r="M37" s="101" t="s">
        <v>239</v>
      </c>
      <c r="N37" s="100"/>
      <c r="O37" s="100"/>
    </row>
    <row r="38" spans="1:15" ht="24">
      <c r="A38" s="102" t="s">
        <v>762</v>
      </c>
      <c r="B38" s="102" t="s">
        <v>763</v>
      </c>
      <c r="C38" s="102" t="s">
        <v>764</v>
      </c>
      <c r="D38" s="102" t="s">
        <v>645</v>
      </c>
      <c r="E38" s="102">
        <v>4</v>
      </c>
      <c r="F38" s="102">
        <v>27025</v>
      </c>
      <c r="G38" s="102">
        <v>108100</v>
      </c>
      <c r="I38" s="102" t="s">
        <v>749</v>
      </c>
      <c r="J38" s="102" t="str" cm="1">
        <f t="array" ref="J38:M38">_xlfn.XLOOKUP(I38,$C$31:$C$39,$D$31:$G$39)</f>
        <v>Table</v>
      </c>
      <c r="K38" s="102">
        <v>1</v>
      </c>
      <c r="L38" s="102">
        <v>15208</v>
      </c>
      <c r="M38" s="102">
        <v>15208</v>
      </c>
      <c r="N38" s="100"/>
      <c r="O38" s="100"/>
    </row>
    <row r="39" spans="1:15" ht="24">
      <c r="A39" s="102" t="s">
        <v>746</v>
      </c>
      <c r="B39" s="102" t="s">
        <v>669</v>
      </c>
      <c r="C39" s="102" t="s">
        <v>765</v>
      </c>
      <c r="D39" s="102" t="s">
        <v>766</v>
      </c>
      <c r="E39" s="102">
        <v>1</v>
      </c>
      <c r="F39" s="102">
        <v>1400</v>
      </c>
      <c r="G39" s="102">
        <v>1400</v>
      </c>
      <c r="I39" s="102" t="s">
        <v>761</v>
      </c>
      <c r="J39" s="102" t="str" cm="1">
        <f t="array" ref="J39:M39">_xlfn.XLOOKUP(I39,$C$31:$C$39,$D$31:$G$39)</f>
        <v>Headphones</v>
      </c>
      <c r="K39" s="102">
        <v>4</v>
      </c>
      <c r="L39" s="102">
        <v>1380</v>
      </c>
      <c r="M39" s="102">
        <v>5520</v>
      </c>
      <c r="N39" s="100"/>
      <c r="O39" s="100"/>
    </row>
    <row r="40" spans="1:15" ht="24">
      <c r="A40" s="100"/>
      <c r="B40" s="100"/>
      <c r="C40" s="100"/>
      <c r="D40" s="100"/>
      <c r="E40" s="100"/>
      <c r="F40" s="100"/>
      <c r="G40" s="100"/>
    </row>
    <row r="42" spans="1:15" ht="46.5">
      <c r="A42" s="98" t="s">
        <v>771</v>
      </c>
      <c r="B42" s="99"/>
      <c r="C42" s="99"/>
      <c r="D42" s="99"/>
      <c r="F42" s="99"/>
      <c r="G42" s="99"/>
      <c r="H42" s="99"/>
      <c r="I42" s="99"/>
      <c r="J42" s="99"/>
      <c r="K42" s="99"/>
    </row>
    <row r="43" spans="1:15" ht="24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</row>
    <row r="44" spans="1:15" ht="24">
      <c r="A44" s="100"/>
      <c r="B44" s="101" t="s">
        <v>279</v>
      </c>
      <c r="C44" s="101" t="s">
        <v>735</v>
      </c>
      <c r="D44" s="101" t="s">
        <v>736</v>
      </c>
      <c r="E44" s="101" t="s">
        <v>737</v>
      </c>
      <c r="F44" s="101" t="s">
        <v>257</v>
      </c>
      <c r="G44" s="101" t="s">
        <v>738</v>
      </c>
      <c r="H44" s="101" t="s">
        <v>239</v>
      </c>
      <c r="I44" s="100"/>
      <c r="J44" s="101" t="s">
        <v>279</v>
      </c>
      <c r="K44" s="102" t="s">
        <v>762</v>
      </c>
    </row>
    <row r="45" spans="1:15" ht="24">
      <c r="A45" s="100"/>
      <c r="B45" s="102" t="s">
        <v>739</v>
      </c>
      <c r="C45" s="102" t="s">
        <v>740</v>
      </c>
      <c r="D45" s="102" t="s">
        <v>741</v>
      </c>
      <c r="E45" s="102" t="s">
        <v>742</v>
      </c>
      <c r="F45" s="102">
        <v>2</v>
      </c>
      <c r="G45" s="102">
        <v>1380</v>
      </c>
      <c r="H45" s="102">
        <v>2760</v>
      </c>
      <c r="I45" s="100"/>
      <c r="J45" s="101" t="s">
        <v>735</v>
      </c>
      <c r="K45" s="102" t="str" cm="1">
        <f t="array" ref="K45:K50">TRANSPOSE(_xlfn.XLOOKUP(K$44,B44:B60,C44:H60))</f>
        <v>Sneha Verma</v>
      </c>
    </row>
    <row r="46" spans="1:15" ht="24">
      <c r="A46" s="100"/>
      <c r="B46" s="102" t="s">
        <v>743</v>
      </c>
      <c r="C46" s="102" t="s">
        <v>669</v>
      </c>
      <c r="D46" s="102" t="s">
        <v>744</v>
      </c>
      <c r="E46" s="102" t="s">
        <v>745</v>
      </c>
      <c r="F46" s="102">
        <v>2</v>
      </c>
      <c r="G46" s="102">
        <v>5848</v>
      </c>
      <c r="H46" s="102">
        <v>11697</v>
      </c>
      <c r="I46" s="100"/>
      <c r="J46" s="101" t="s">
        <v>736</v>
      </c>
      <c r="K46" s="102" t="str">
        <v>CU07</v>
      </c>
    </row>
    <row r="47" spans="1:15" ht="24">
      <c r="A47" s="100"/>
      <c r="B47" s="102" t="s">
        <v>747</v>
      </c>
      <c r="C47" s="102" t="s">
        <v>748</v>
      </c>
      <c r="D47" s="102" t="s">
        <v>749</v>
      </c>
      <c r="E47" s="102" t="s">
        <v>750</v>
      </c>
      <c r="F47" s="102">
        <v>1</v>
      </c>
      <c r="G47" s="102">
        <v>15208</v>
      </c>
      <c r="H47" s="102">
        <v>15208</v>
      </c>
      <c r="I47" s="100"/>
      <c r="J47" s="101" t="s">
        <v>737</v>
      </c>
      <c r="K47" s="102" t="str">
        <v>Tablet</v>
      </c>
    </row>
    <row r="48" spans="1:15" ht="24">
      <c r="A48" s="100"/>
      <c r="B48" s="102" t="s">
        <v>747</v>
      </c>
      <c r="C48" s="102" t="s">
        <v>751</v>
      </c>
      <c r="D48" s="102" t="s">
        <v>752</v>
      </c>
      <c r="E48" s="102" t="s">
        <v>753</v>
      </c>
      <c r="F48" s="102">
        <v>2</v>
      </c>
      <c r="G48" s="102">
        <v>156</v>
      </c>
      <c r="H48" s="102">
        <v>313</v>
      </c>
      <c r="I48" s="100"/>
      <c r="J48" s="101" t="s">
        <v>257</v>
      </c>
      <c r="K48" s="102">
        <v>4</v>
      </c>
    </row>
    <row r="49" spans="1:11" ht="24">
      <c r="A49" s="100"/>
      <c r="B49" s="102" t="s">
        <v>754</v>
      </c>
      <c r="C49" s="102" t="s">
        <v>755</v>
      </c>
      <c r="D49" s="102" t="s">
        <v>756</v>
      </c>
      <c r="E49" s="102" t="s">
        <v>757</v>
      </c>
      <c r="F49" s="102">
        <v>3</v>
      </c>
      <c r="G49" s="102">
        <v>280</v>
      </c>
      <c r="H49" s="102">
        <v>840</v>
      </c>
      <c r="I49" s="100"/>
      <c r="J49" s="101" t="s">
        <v>738</v>
      </c>
      <c r="K49" s="102">
        <v>27025</v>
      </c>
    </row>
    <row r="50" spans="1:11" ht="24">
      <c r="A50" s="100"/>
      <c r="B50" s="102" t="s">
        <v>759</v>
      </c>
      <c r="C50" s="102" t="s">
        <v>760</v>
      </c>
      <c r="D50" s="102" t="s">
        <v>761</v>
      </c>
      <c r="E50" s="102" t="s">
        <v>742</v>
      </c>
      <c r="F50" s="102">
        <v>4</v>
      </c>
      <c r="G50" s="102">
        <v>1380</v>
      </c>
      <c r="H50" s="102">
        <v>5520</v>
      </c>
      <c r="I50" s="100"/>
      <c r="J50" s="101" t="s">
        <v>239</v>
      </c>
      <c r="K50" s="102">
        <v>108100</v>
      </c>
    </row>
    <row r="51" spans="1:11" ht="24">
      <c r="A51" s="100"/>
      <c r="B51" s="102" t="s">
        <v>762</v>
      </c>
      <c r="C51" s="102" t="s">
        <v>763</v>
      </c>
      <c r="D51" s="102" t="s">
        <v>764</v>
      </c>
      <c r="E51" s="102" t="s">
        <v>645</v>
      </c>
      <c r="F51" s="102">
        <v>4</v>
      </c>
      <c r="G51" s="102">
        <v>27025</v>
      </c>
      <c r="H51" s="102">
        <v>108100</v>
      </c>
      <c r="I51" s="100"/>
      <c r="J51" s="100"/>
      <c r="K51" s="100"/>
    </row>
    <row r="52" spans="1:11" ht="24">
      <c r="A52" s="100"/>
      <c r="B52" s="102" t="s">
        <v>746</v>
      </c>
      <c r="C52" s="102" t="s">
        <v>669</v>
      </c>
      <c r="D52" s="102" t="s">
        <v>765</v>
      </c>
      <c r="E52" s="102" t="s">
        <v>766</v>
      </c>
      <c r="F52" s="102">
        <v>1</v>
      </c>
      <c r="G52" s="102">
        <v>1400</v>
      </c>
      <c r="H52" s="102">
        <v>1400</v>
      </c>
      <c r="I52" s="100"/>
      <c r="J52" s="100"/>
      <c r="K52" s="100"/>
    </row>
    <row r="53" spans="1:11" ht="24">
      <c r="A53" s="100"/>
      <c r="B53" s="102" t="s">
        <v>767</v>
      </c>
      <c r="C53" s="102" t="s">
        <v>740</v>
      </c>
      <c r="D53" s="102" t="s">
        <v>768</v>
      </c>
      <c r="E53" s="102" t="s">
        <v>757</v>
      </c>
      <c r="F53" s="102">
        <v>1</v>
      </c>
      <c r="G53" s="102">
        <v>280</v>
      </c>
      <c r="H53" s="102">
        <v>280</v>
      </c>
      <c r="I53" s="100"/>
      <c r="J53" s="100"/>
      <c r="K53" s="100"/>
    </row>
    <row r="54" spans="1:11" ht="24">
      <c r="A54" s="100"/>
      <c r="B54" s="102" t="s">
        <v>772</v>
      </c>
      <c r="C54" s="102" t="s">
        <v>740</v>
      </c>
      <c r="D54" s="102" t="s">
        <v>773</v>
      </c>
      <c r="E54" s="102" t="s">
        <v>742</v>
      </c>
      <c r="F54" s="102">
        <v>1</v>
      </c>
      <c r="G54" s="102">
        <v>15208</v>
      </c>
      <c r="H54" s="102">
        <v>15208</v>
      </c>
      <c r="I54" s="100"/>
      <c r="J54" s="100"/>
      <c r="K54" s="100"/>
    </row>
    <row r="55" spans="1:11" ht="24">
      <c r="A55" s="100"/>
      <c r="B55" s="102" t="s">
        <v>774</v>
      </c>
      <c r="C55" s="102" t="s">
        <v>669</v>
      </c>
      <c r="D55" s="102" t="s">
        <v>775</v>
      </c>
      <c r="E55" s="102" t="s">
        <v>745</v>
      </c>
      <c r="F55" s="102">
        <v>2</v>
      </c>
      <c r="G55" s="102">
        <v>156</v>
      </c>
      <c r="H55" s="102">
        <v>313</v>
      </c>
      <c r="I55" s="100"/>
      <c r="J55" s="100"/>
      <c r="K55" s="100"/>
    </row>
    <row r="56" spans="1:11" ht="24">
      <c r="A56" s="100"/>
      <c r="B56" s="102" t="s">
        <v>776</v>
      </c>
      <c r="C56" s="102" t="s">
        <v>748</v>
      </c>
      <c r="D56" s="102" t="s">
        <v>777</v>
      </c>
      <c r="E56" s="102" t="s">
        <v>750</v>
      </c>
      <c r="F56" s="102">
        <v>3</v>
      </c>
      <c r="G56" s="102">
        <v>280</v>
      </c>
      <c r="H56" s="102">
        <v>840</v>
      </c>
      <c r="I56" s="100"/>
      <c r="J56" s="100"/>
      <c r="K56" s="100"/>
    </row>
    <row r="57" spans="1:11" ht="24">
      <c r="A57" s="100"/>
      <c r="B57" s="102" t="s">
        <v>778</v>
      </c>
      <c r="C57" s="102" t="s">
        <v>751</v>
      </c>
      <c r="D57" s="102" t="s">
        <v>779</v>
      </c>
      <c r="E57" s="102" t="s">
        <v>753</v>
      </c>
      <c r="F57" s="102">
        <v>4</v>
      </c>
      <c r="G57" s="102">
        <v>1380</v>
      </c>
      <c r="H57" s="102">
        <v>5520</v>
      </c>
      <c r="I57" s="100"/>
      <c r="J57" s="100"/>
      <c r="K57" s="100"/>
    </row>
    <row r="58" spans="1:11" ht="24">
      <c r="A58" s="100"/>
      <c r="B58" s="102" t="s">
        <v>780</v>
      </c>
      <c r="C58" s="102" t="s">
        <v>755</v>
      </c>
      <c r="D58" s="102" t="s">
        <v>781</v>
      </c>
      <c r="E58" s="102" t="s">
        <v>757</v>
      </c>
      <c r="F58" s="102">
        <v>4</v>
      </c>
      <c r="G58" s="102">
        <v>27025</v>
      </c>
      <c r="H58" s="102">
        <v>108100</v>
      </c>
      <c r="I58" s="100"/>
      <c r="J58" s="100"/>
      <c r="K58" s="100"/>
    </row>
    <row r="59" spans="1:11" ht="24">
      <c r="A59" s="100"/>
      <c r="B59" s="102" t="s">
        <v>782</v>
      </c>
      <c r="C59" s="102" t="s">
        <v>760</v>
      </c>
      <c r="D59" s="102" t="s">
        <v>783</v>
      </c>
      <c r="E59" s="102" t="s">
        <v>742</v>
      </c>
      <c r="F59" s="102">
        <v>1</v>
      </c>
      <c r="G59" s="102">
        <v>1400</v>
      </c>
      <c r="H59" s="102">
        <v>1400</v>
      </c>
      <c r="I59" s="100"/>
      <c r="J59" s="100"/>
      <c r="K59" s="100"/>
    </row>
    <row r="60" spans="1:11" ht="24">
      <c r="A60" s="100"/>
      <c r="B60" s="102" t="s">
        <v>784</v>
      </c>
      <c r="C60" s="102" t="s">
        <v>763</v>
      </c>
      <c r="D60" s="102" t="s">
        <v>785</v>
      </c>
      <c r="E60" s="102" t="s">
        <v>645</v>
      </c>
      <c r="F60" s="102">
        <v>1</v>
      </c>
      <c r="G60" s="102">
        <v>280</v>
      </c>
      <c r="H60" s="102">
        <v>280</v>
      </c>
      <c r="I60" s="100"/>
      <c r="J60" s="100"/>
      <c r="K60" s="100"/>
    </row>
    <row r="63" spans="1:11" ht="46.5">
      <c r="A63" s="98" t="s">
        <v>786</v>
      </c>
      <c r="B63" s="99"/>
      <c r="C63" s="99"/>
      <c r="D63" s="99"/>
      <c r="E63" s="99"/>
      <c r="F63" s="99"/>
      <c r="G63" s="99"/>
    </row>
    <row r="64" spans="1:11" ht="24">
      <c r="A64" s="100"/>
      <c r="B64" s="100"/>
      <c r="C64" s="100"/>
      <c r="D64" s="100"/>
      <c r="E64" s="100"/>
      <c r="F64" s="100"/>
      <c r="G64" s="100"/>
      <c r="H64" s="100"/>
    </row>
    <row r="65" spans="1:27" ht="24">
      <c r="A65" s="100"/>
      <c r="B65" s="101" t="s">
        <v>279</v>
      </c>
      <c r="C65" s="101" t="s">
        <v>735</v>
      </c>
      <c r="D65" s="101" t="s">
        <v>736</v>
      </c>
      <c r="E65" s="101" t="s">
        <v>737</v>
      </c>
      <c r="F65" s="101" t="s">
        <v>257</v>
      </c>
      <c r="G65" s="101" t="s">
        <v>738</v>
      </c>
      <c r="H65" s="101" t="s">
        <v>239</v>
      </c>
      <c r="O65" s="124" t="s">
        <v>169</v>
      </c>
      <c r="P65" s="124" t="s">
        <v>234</v>
      </c>
      <c r="Q65" s="124" t="s">
        <v>235</v>
      </c>
      <c r="R65" s="124" t="s">
        <v>236</v>
      </c>
      <c r="S65" s="124" t="s">
        <v>237</v>
      </c>
      <c r="T65" s="124" t="s">
        <v>787</v>
      </c>
      <c r="U65" s="124" t="s">
        <v>788</v>
      </c>
      <c r="V65" s="124" t="s">
        <v>245</v>
      </c>
    </row>
    <row r="66" spans="1:27" ht="24">
      <c r="A66" s="100"/>
      <c r="B66" s="102" t="s">
        <v>739</v>
      </c>
      <c r="C66" s="102" t="s">
        <v>740</v>
      </c>
      <c r="D66" s="102" t="s">
        <v>741</v>
      </c>
      <c r="E66" s="102" t="s">
        <v>742</v>
      </c>
      <c r="F66" s="102">
        <v>2</v>
      </c>
      <c r="G66" s="102">
        <v>1380</v>
      </c>
      <c r="H66" s="102">
        <v>2760</v>
      </c>
      <c r="O66" s="125" t="s">
        <v>789</v>
      </c>
      <c r="P66" s="102">
        <v>1200</v>
      </c>
      <c r="Q66" s="102">
        <v>4500</v>
      </c>
      <c r="R66" s="102">
        <v>760040</v>
      </c>
      <c r="S66" s="102">
        <v>980000</v>
      </c>
      <c r="T66" s="102">
        <v>2300</v>
      </c>
      <c r="U66" s="102">
        <v>210500</v>
      </c>
      <c r="V66" s="102">
        <v>1958540</v>
      </c>
    </row>
    <row r="67" spans="1:27" ht="24">
      <c r="A67" s="100"/>
      <c r="B67" s="102" t="s">
        <v>743</v>
      </c>
      <c r="C67" s="102" t="s">
        <v>669</v>
      </c>
      <c r="D67" s="102" t="s">
        <v>744</v>
      </c>
      <c r="E67" s="102" t="s">
        <v>745</v>
      </c>
      <c r="F67" s="102">
        <v>2</v>
      </c>
      <c r="G67" s="102">
        <v>5848</v>
      </c>
      <c r="H67" s="102">
        <v>11697</v>
      </c>
      <c r="J67" s="101" t="s">
        <v>279</v>
      </c>
      <c r="K67" s="101" t="s">
        <v>735</v>
      </c>
      <c r="L67" s="101" t="s">
        <v>737</v>
      </c>
      <c r="M67" s="101" t="s">
        <v>239</v>
      </c>
      <c r="O67" s="125" t="s">
        <v>790</v>
      </c>
      <c r="P67" s="102">
        <v>4300</v>
      </c>
      <c r="Q67" s="102">
        <v>4000</v>
      </c>
      <c r="R67" s="102">
        <v>66000</v>
      </c>
      <c r="S67" s="102">
        <v>670000</v>
      </c>
      <c r="T67" s="102">
        <v>439800</v>
      </c>
      <c r="U67" s="102">
        <v>43900</v>
      </c>
      <c r="V67" s="102">
        <v>1228000</v>
      </c>
      <c r="X67" s="128" t="s">
        <v>169</v>
      </c>
      <c r="Y67" s="128" t="s">
        <v>237</v>
      </c>
      <c r="Z67" s="128" t="s">
        <v>235</v>
      </c>
      <c r="AA67" s="128" t="s">
        <v>788</v>
      </c>
    </row>
    <row r="68" spans="1:27" ht="24">
      <c r="A68" s="100"/>
      <c r="B68" s="102" t="s">
        <v>747</v>
      </c>
      <c r="C68" s="102" t="s">
        <v>748</v>
      </c>
      <c r="D68" s="102" t="s">
        <v>749</v>
      </c>
      <c r="E68" s="102" t="s">
        <v>750</v>
      </c>
      <c r="F68" s="102">
        <v>1</v>
      </c>
      <c r="G68" s="102">
        <v>15208</v>
      </c>
      <c r="H68" s="102">
        <v>15208</v>
      </c>
      <c r="J68" s="102" t="s">
        <v>759</v>
      </c>
      <c r="K68" s="102" t="str" cm="1">
        <f t="array" ref="K68:M68">_xlfn.XLOOKUP(J68,B65:B74,CHOOSE({1,2,3},C65:C74,E65:E74,H65:H74))</f>
        <v>Kiran Joshi</v>
      </c>
      <c r="L68" s="102" t="str">
        <v>Headphones</v>
      </c>
      <c r="M68" s="102">
        <v>5520</v>
      </c>
      <c r="O68" s="125" t="s">
        <v>644</v>
      </c>
      <c r="P68" s="102">
        <v>10000</v>
      </c>
      <c r="Q68" s="102">
        <v>56000</v>
      </c>
      <c r="R68" s="102">
        <v>65000</v>
      </c>
      <c r="S68" s="102">
        <v>870000</v>
      </c>
      <c r="T68" s="102">
        <v>540790</v>
      </c>
      <c r="U68" s="102">
        <v>450000</v>
      </c>
      <c r="V68" s="102">
        <v>1991790</v>
      </c>
      <c r="X68" s="129" t="s">
        <v>791</v>
      </c>
      <c r="Y68" s="130" cm="1">
        <f t="array" ref="Y68:AA68">_xlfn.XLOOKUP(X68,O65:O71,CHOOSE({1,2,3},S65:S71,Q65:Q71,U65:U71))</f>
        <v>45230</v>
      </c>
      <c r="Z68" s="130">
        <v>5500</v>
      </c>
      <c r="AA68" s="130">
        <v>5000</v>
      </c>
    </row>
    <row r="69" spans="1:27" ht="24">
      <c r="A69" s="100"/>
      <c r="B69" s="102" t="s">
        <v>747</v>
      </c>
      <c r="C69" s="102" t="s">
        <v>751</v>
      </c>
      <c r="D69" s="102" t="s">
        <v>752</v>
      </c>
      <c r="E69" s="102" t="s">
        <v>753</v>
      </c>
      <c r="F69" s="102">
        <v>2</v>
      </c>
      <c r="G69" s="102">
        <v>156</v>
      </c>
      <c r="H69" s="102">
        <v>313</v>
      </c>
      <c r="J69" s="100"/>
      <c r="K69" s="100"/>
      <c r="L69" s="100"/>
      <c r="M69" s="100"/>
      <c r="O69" s="125" t="s">
        <v>184</v>
      </c>
      <c r="P69" s="102">
        <v>43000</v>
      </c>
      <c r="Q69" s="102">
        <v>76000</v>
      </c>
      <c r="R69" s="102">
        <v>450000</v>
      </c>
      <c r="S69" s="102">
        <v>3400</v>
      </c>
      <c r="T69" s="102">
        <v>5500</v>
      </c>
      <c r="U69" s="102">
        <v>5400</v>
      </c>
      <c r="V69" s="102">
        <v>583300</v>
      </c>
    </row>
    <row r="70" spans="1:27" ht="24">
      <c r="A70" s="100"/>
      <c r="B70" s="102" t="s">
        <v>754</v>
      </c>
      <c r="C70" s="102" t="s">
        <v>755</v>
      </c>
      <c r="D70" s="102" t="s">
        <v>756</v>
      </c>
      <c r="E70" s="102" t="s">
        <v>757</v>
      </c>
      <c r="F70" s="102">
        <v>3</v>
      </c>
      <c r="G70" s="102">
        <v>280</v>
      </c>
      <c r="H70" s="102">
        <v>840</v>
      </c>
      <c r="J70" s="101" t="s">
        <v>736</v>
      </c>
      <c r="K70" s="101" t="s">
        <v>735</v>
      </c>
      <c r="L70" s="101" t="s">
        <v>737</v>
      </c>
      <c r="M70" s="101" t="s">
        <v>239</v>
      </c>
      <c r="O70" s="125" t="s">
        <v>792</v>
      </c>
      <c r="P70" s="102">
        <v>2300</v>
      </c>
      <c r="Q70" s="102">
        <v>5500</v>
      </c>
      <c r="R70" s="102">
        <v>54000</v>
      </c>
      <c r="S70" s="102">
        <v>45230</v>
      </c>
      <c r="T70" s="102">
        <v>340000</v>
      </c>
      <c r="U70" s="102">
        <v>5000</v>
      </c>
      <c r="V70" s="102">
        <v>452030</v>
      </c>
    </row>
    <row r="71" spans="1:27" ht="24">
      <c r="A71" s="100"/>
      <c r="B71" s="102" t="s">
        <v>759</v>
      </c>
      <c r="C71" s="102" t="s">
        <v>760</v>
      </c>
      <c r="D71" s="102" t="s">
        <v>761</v>
      </c>
      <c r="E71" s="102" t="s">
        <v>742</v>
      </c>
      <c r="F71" s="102">
        <v>4</v>
      </c>
      <c r="G71" s="102">
        <v>1380</v>
      </c>
      <c r="H71" s="102">
        <v>5520</v>
      </c>
      <c r="J71" s="102" t="s">
        <v>749</v>
      </c>
      <c r="K71" s="103" t="str" cm="1">
        <f t="array" ref="K71:M71">_xlfn.XLOOKUP(J71,D65:D74,CHOOSE({1,2,3},C65:C74,E65:E74,H65:H74))</f>
        <v>Rahul Mehta</v>
      </c>
      <c r="L71" s="103" t="str">
        <v>Table</v>
      </c>
      <c r="M71" s="103">
        <v>15208</v>
      </c>
      <c r="O71" s="125" t="s">
        <v>793</v>
      </c>
      <c r="P71" s="102">
        <v>54000</v>
      </c>
      <c r="Q71" s="102">
        <v>560000</v>
      </c>
      <c r="R71" s="102">
        <v>34000</v>
      </c>
      <c r="S71" s="102">
        <v>77500</v>
      </c>
      <c r="T71" s="102">
        <v>540000</v>
      </c>
      <c r="U71" s="102">
        <v>340000</v>
      </c>
      <c r="V71" s="102">
        <v>1605500</v>
      </c>
    </row>
    <row r="72" spans="1:27" ht="24">
      <c r="A72" s="100"/>
      <c r="B72" s="102" t="s">
        <v>762</v>
      </c>
      <c r="C72" s="102" t="s">
        <v>763</v>
      </c>
      <c r="D72" s="102" t="s">
        <v>764</v>
      </c>
      <c r="E72" s="102" t="s">
        <v>645</v>
      </c>
      <c r="F72" s="102">
        <v>4</v>
      </c>
      <c r="G72" s="102">
        <v>27025</v>
      </c>
      <c r="H72" s="102">
        <v>108100</v>
      </c>
    </row>
    <row r="73" spans="1:27" ht="24">
      <c r="A73" s="100"/>
      <c r="B73" s="102" t="s">
        <v>746</v>
      </c>
      <c r="C73" s="102" t="s">
        <v>669</v>
      </c>
      <c r="D73" s="102" t="s">
        <v>765</v>
      </c>
      <c r="E73" s="102" t="s">
        <v>766</v>
      </c>
      <c r="F73" s="102">
        <v>1</v>
      </c>
      <c r="G73" s="102">
        <v>1400</v>
      </c>
      <c r="H73" s="102">
        <v>1400</v>
      </c>
    </row>
    <row r="74" spans="1:27" ht="24">
      <c r="A74" s="100"/>
      <c r="B74" s="102" t="s">
        <v>767</v>
      </c>
      <c r="C74" s="102" t="s">
        <v>740</v>
      </c>
      <c r="D74" s="102" t="s">
        <v>768</v>
      </c>
      <c r="E74" s="102" t="s">
        <v>757</v>
      </c>
      <c r="F74" s="102">
        <v>1</v>
      </c>
      <c r="G74" s="102">
        <v>280</v>
      </c>
      <c r="H74" s="102">
        <v>280</v>
      </c>
    </row>
    <row r="75" spans="1:27" ht="24">
      <c r="A75" s="100"/>
      <c r="B75" s="100"/>
      <c r="C75" s="100"/>
      <c r="D75" s="100"/>
      <c r="E75" s="100"/>
      <c r="F75" s="100"/>
      <c r="G75" s="100"/>
      <c r="H75" s="100"/>
    </row>
    <row r="76" spans="1:27" ht="24">
      <c r="A76" s="100"/>
      <c r="B76" s="100"/>
      <c r="C76" s="100"/>
      <c r="D76" s="100"/>
      <c r="E76" s="100"/>
      <c r="F76" s="100"/>
      <c r="G76" s="100"/>
      <c r="H76" s="100"/>
    </row>
    <row r="77" spans="1:27" ht="46.5">
      <c r="A77" s="98" t="s">
        <v>794</v>
      </c>
      <c r="B77" s="99"/>
      <c r="C77" s="99"/>
      <c r="D77" s="99"/>
      <c r="E77" s="99"/>
      <c r="F77" s="99"/>
      <c r="G77" s="99"/>
    </row>
    <row r="78" spans="1:27" ht="24">
      <c r="A78" s="100"/>
      <c r="B78" s="100"/>
      <c r="C78" s="100"/>
      <c r="D78" s="100"/>
      <c r="E78" s="100"/>
      <c r="F78" s="100"/>
      <c r="G78" s="100"/>
      <c r="H78" s="100"/>
    </row>
    <row r="79" spans="1:27" ht="24">
      <c r="A79" s="100"/>
      <c r="B79" s="101" t="s">
        <v>279</v>
      </c>
      <c r="C79" s="101" t="s">
        <v>735</v>
      </c>
      <c r="D79" s="101" t="s">
        <v>736</v>
      </c>
      <c r="E79" s="101" t="s">
        <v>737</v>
      </c>
      <c r="F79" s="101" t="s">
        <v>257</v>
      </c>
      <c r="G79" s="101" t="s">
        <v>738</v>
      </c>
      <c r="H79" s="101" t="s">
        <v>239</v>
      </c>
    </row>
    <row r="80" spans="1:27" ht="24">
      <c r="A80" s="100"/>
      <c r="B80" s="102" t="s">
        <v>739</v>
      </c>
      <c r="C80" s="102" t="s">
        <v>740</v>
      </c>
      <c r="D80" s="102" t="s">
        <v>741</v>
      </c>
      <c r="E80" s="102" t="s">
        <v>742</v>
      </c>
      <c r="F80" s="102">
        <v>2</v>
      </c>
      <c r="G80" s="102">
        <v>1380</v>
      </c>
      <c r="H80" s="102">
        <v>2760</v>
      </c>
    </row>
    <row r="81" spans="1:16" ht="24">
      <c r="A81" s="100"/>
      <c r="B81" s="102" t="s">
        <v>743</v>
      </c>
      <c r="C81" s="102" t="s">
        <v>669</v>
      </c>
      <c r="D81" s="102" t="s">
        <v>744</v>
      </c>
      <c r="E81" s="102" t="s">
        <v>745</v>
      </c>
      <c r="F81" s="102">
        <v>2</v>
      </c>
      <c r="G81" s="102">
        <v>5848</v>
      </c>
      <c r="H81" s="102">
        <v>11697</v>
      </c>
      <c r="J81" s="101" t="s">
        <v>279</v>
      </c>
      <c r="K81" s="101" t="s">
        <v>735</v>
      </c>
      <c r="L81" s="101" t="s">
        <v>737</v>
      </c>
      <c r="M81" s="101" t="s">
        <v>239</v>
      </c>
    </row>
    <row r="82" spans="1:16" ht="24">
      <c r="A82" s="100"/>
      <c r="B82" s="102" t="s">
        <v>747</v>
      </c>
      <c r="C82" s="102" t="s">
        <v>748</v>
      </c>
      <c r="D82" s="102" t="s">
        <v>749</v>
      </c>
      <c r="E82" s="102" t="s">
        <v>750</v>
      </c>
      <c r="F82" s="102">
        <v>1</v>
      </c>
      <c r="G82" s="102">
        <v>15208</v>
      </c>
      <c r="H82" s="102">
        <v>15208</v>
      </c>
      <c r="J82" s="102" t="s">
        <v>754</v>
      </c>
      <c r="K82" s="102" t="str" cm="1">
        <f t="array" ref="K82:M82">_xlfn.CHOOSECOLS(_xlfn.XLOOKUP(J82,B79:B88,C79:H88),1,3,6)</f>
        <v>Pooja Rao</v>
      </c>
      <c r="L82" s="102" t="str">
        <v>Charger</v>
      </c>
      <c r="M82" s="102">
        <v>840</v>
      </c>
    </row>
    <row r="83" spans="1:16" ht="24">
      <c r="A83" s="100"/>
      <c r="B83" s="102" t="s">
        <v>747</v>
      </c>
      <c r="C83" s="102" t="s">
        <v>751</v>
      </c>
      <c r="D83" s="102" t="s">
        <v>752</v>
      </c>
      <c r="E83" s="102" t="s">
        <v>753</v>
      </c>
      <c r="F83" s="102">
        <v>2</v>
      </c>
      <c r="G83" s="102">
        <v>156</v>
      </c>
      <c r="H83" s="102">
        <v>313</v>
      </c>
      <c r="J83" s="100"/>
      <c r="K83" s="100"/>
      <c r="L83" s="100"/>
      <c r="M83" s="100"/>
    </row>
    <row r="84" spans="1:16" ht="24">
      <c r="A84" s="100"/>
      <c r="B84" s="102" t="s">
        <v>754</v>
      </c>
      <c r="C84" s="102" t="s">
        <v>755</v>
      </c>
      <c r="D84" s="102" t="s">
        <v>756</v>
      </c>
      <c r="E84" s="102" t="s">
        <v>757</v>
      </c>
      <c r="F84" s="102">
        <v>3</v>
      </c>
      <c r="G84" s="102">
        <v>280</v>
      </c>
      <c r="H84" s="102">
        <v>840</v>
      </c>
      <c r="J84" s="101" t="s">
        <v>736</v>
      </c>
      <c r="K84" s="101" t="s">
        <v>735</v>
      </c>
      <c r="L84" s="101" t="s">
        <v>737</v>
      </c>
      <c r="M84" s="101" t="s">
        <v>239</v>
      </c>
    </row>
    <row r="85" spans="1:16" ht="24">
      <c r="A85" s="100"/>
      <c r="B85" s="102" t="s">
        <v>759</v>
      </c>
      <c r="C85" s="102" t="s">
        <v>760</v>
      </c>
      <c r="D85" s="102" t="s">
        <v>761</v>
      </c>
      <c r="E85" s="102" t="s">
        <v>742</v>
      </c>
      <c r="F85" s="102">
        <v>4</v>
      </c>
      <c r="G85" s="102">
        <v>1380</v>
      </c>
      <c r="H85" s="102">
        <v>5520</v>
      </c>
      <c r="J85" s="102" t="s">
        <v>749</v>
      </c>
      <c r="K85" s="102" t="str" cm="1">
        <f t="array" ref="K85:M85">_xlfn.CHOOSECOLS(_xlfn.XLOOKUP(J85,D79:D88,C79:H88),1,3,6)</f>
        <v>Rahul Mehta</v>
      </c>
      <c r="L85" s="102" t="str">
        <v>Table</v>
      </c>
      <c r="M85" s="102">
        <v>15208</v>
      </c>
    </row>
    <row r="86" spans="1:16" ht="24">
      <c r="A86" s="100"/>
      <c r="B86" s="102" t="s">
        <v>762</v>
      </c>
      <c r="C86" s="102" t="s">
        <v>763</v>
      </c>
      <c r="D86" s="102" t="s">
        <v>764</v>
      </c>
      <c r="E86" s="102" t="s">
        <v>645</v>
      </c>
      <c r="F86" s="102">
        <v>4</v>
      </c>
      <c r="G86" s="102">
        <v>27025</v>
      </c>
      <c r="H86" s="102">
        <v>108100</v>
      </c>
    </row>
    <row r="87" spans="1:16" ht="24">
      <c r="A87" s="100"/>
      <c r="B87" s="102" t="s">
        <v>746</v>
      </c>
      <c r="C87" s="102" t="s">
        <v>669</v>
      </c>
      <c r="D87" s="102" t="s">
        <v>765</v>
      </c>
      <c r="E87" s="102" t="s">
        <v>766</v>
      </c>
      <c r="F87" s="102">
        <v>1</v>
      </c>
      <c r="G87" s="102">
        <v>1400</v>
      </c>
      <c r="H87" s="102">
        <v>1400</v>
      </c>
    </row>
    <row r="88" spans="1:16" ht="24">
      <c r="A88" s="100"/>
      <c r="B88" s="102" t="s">
        <v>767</v>
      </c>
      <c r="C88" s="102" t="s">
        <v>740</v>
      </c>
      <c r="D88" s="102" t="s">
        <v>768</v>
      </c>
      <c r="E88" s="102" t="s">
        <v>757</v>
      </c>
      <c r="F88" s="102">
        <v>1</v>
      </c>
      <c r="G88" s="102">
        <v>280</v>
      </c>
      <c r="H88" s="102">
        <v>280</v>
      </c>
    </row>
    <row r="89" spans="1:16" ht="24">
      <c r="A89" s="100"/>
      <c r="B89" s="100"/>
      <c r="C89" s="100"/>
      <c r="D89" s="100"/>
      <c r="E89" s="100"/>
      <c r="F89" s="100"/>
      <c r="G89" s="100"/>
      <c r="H89" s="100"/>
    </row>
    <row r="90" spans="1:16" ht="24">
      <c r="A90" s="100"/>
      <c r="B90" s="100"/>
      <c r="C90" s="100"/>
      <c r="D90" s="100"/>
      <c r="E90" s="100"/>
      <c r="F90" s="100"/>
      <c r="G90" s="100"/>
      <c r="H90" s="100"/>
    </row>
    <row r="91" spans="1:16" ht="46.5">
      <c r="A91" s="98" t="s">
        <v>795</v>
      </c>
      <c r="B91" s="99"/>
      <c r="C91" s="99"/>
      <c r="D91" s="99"/>
      <c r="E91" s="99"/>
      <c r="F91" s="99"/>
      <c r="G91" s="99"/>
      <c r="H91" s="99"/>
    </row>
    <row r="92" spans="1:16" ht="24">
      <c r="A92" s="100"/>
      <c r="B92" s="100"/>
      <c r="C92" s="100"/>
      <c r="D92" s="100"/>
      <c r="E92" s="100"/>
      <c r="F92" s="100"/>
      <c r="G92" s="100"/>
      <c r="H92" s="100"/>
    </row>
    <row r="93" spans="1:16" ht="24">
      <c r="A93" s="100"/>
      <c r="B93" s="101" t="s">
        <v>796</v>
      </c>
      <c r="C93" s="101" t="s">
        <v>735</v>
      </c>
      <c r="D93" s="101" t="s">
        <v>736</v>
      </c>
      <c r="E93" s="101" t="s">
        <v>737</v>
      </c>
      <c r="F93" s="101" t="s">
        <v>257</v>
      </c>
      <c r="G93" s="101" t="s">
        <v>738</v>
      </c>
      <c r="H93" s="101" t="s">
        <v>239</v>
      </c>
    </row>
    <row r="94" spans="1:16" ht="24">
      <c r="A94" s="100"/>
      <c r="B94" s="102" t="s">
        <v>797</v>
      </c>
      <c r="C94" s="102" t="s">
        <v>669</v>
      </c>
      <c r="D94" s="102" t="s">
        <v>744</v>
      </c>
      <c r="E94" s="102" t="s">
        <v>745</v>
      </c>
      <c r="F94" s="102">
        <v>2</v>
      </c>
      <c r="G94" s="102">
        <v>5848</v>
      </c>
      <c r="H94" s="102">
        <v>11697</v>
      </c>
      <c r="J94" s="101" t="s">
        <v>796</v>
      </c>
      <c r="K94" s="101" t="s">
        <v>735</v>
      </c>
      <c r="L94" s="101" t="s">
        <v>736</v>
      </c>
      <c r="M94" s="101" t="s">
        <v>737</v>
      </c>
      <c r="N94" s="101" t="s">
        <v>257</v>
      </c>
      <c r="O94" s="101" t="s">
        <v>738</v>
      </c>
      <c r="P94" s="101" t="s">
        <v>239</v>
      </c>
    </row>
    <row r="95" spans="1:16" ht="24">
      <c r="A95" s="100"/>
      <c r="B95" s="102" t="s">
        <v>798</v>
      </c>
      <c r="C95" s="102" t="s">
        <v>748</v>
      </c>
      <c r="D95" s="102" t="s">
        <v>749</v>
      </c>
      <c r="E95" s="102" t="s">
        <v>750</v>
      </c>
      <c r="F95" s="102">
        <v>1</v>
      </c>
      <c r="G95" s="102">
        <v>15208</v>
      </c>
      <c r="H95" s="102">
        <v>15208</v>
      </c>
      <c r="J95" s="104" t="s">
        <v>799</v>
      </c>
      <c r="K95" s="104" t="s">
        <v>669</v>
      </c>
      <c r="L95" s="102" t="str" cm="1">
        <f t="array" ref="L95:P95">_xlfn.XLOOKUP(J95&amp;K95,B93:B101&amp;C93:C101,D93:H101)</f>
        <v>CU08</v>
      </c>
      <c r="M95" s="102" t="str">
        <v>Power Bank</v>
      </c>
      <c r="N95" s="102">
        <v>1</v>
      </c>
      <c r="O95" s="102">
        <v>1400</v>
      </c>
      <c r="P95" s="102">
        <v>1400</v>
      </c>
    </row>
    <row r="96" spans="1:16" ht="24">
      <c r="A96" s="100"/>
      <c r="B96" s="102" t="s">
        <v>800</v>
      </c>
      <c r="C96" s="102" t="s">
        <v>751</v>
      </c>
      <c r="D96" s="102" t="s">
        <v>752</v>
      </c>
      <c r="E96" s="102" t="s">
        <v>753</v>
      </c>
      <c r="F96" s="102">
        <v>2</v>
      </c>
      <c r="G96" s="102">
        <v>156</v>
      </c>
      <c r="H96" s="102">
        <v>313</v>
      </c>
      <c r="J96" s="100"/>
      <c r="K96" s="100"/>
      <c r="L96" s="100"/>
      <c r="M96" s="100"/>
      <c r="N96" s="100"/>
      <c r="O96" s="100"/>
      <c r="P96" s="100"/>
    </row>
    <row r="97" spans="1:28" ht="24">
      <c r="A97" s="100"/>
      <c r="B97" s="102" t="s">
        <v>801</v>
      </c>
      <c r="C97" s="102" t="s">
        <v>755</v>
      </c>
      <c r="D97" s="102" t="s">
        <v>756</v>
      </c>
      <c r="E97" s="102" t="s">
        <v>757</v>
      </c>
      <c r="F97" s="102">
        <v>3</v>
      </c>
      <c r="G97" s="102">
        <v>280</v>
      </c>
      <c r="H97" s="102">
        <v>840</v>
      </c>
      <c r="J97" s="101" t="s">
        <v>736</v>
      </c>
      <c r="K97" s="101" t="s">
        <v>735</v>
      </c>
      <c r="L97" s="101" t="s">
        <v>737</v>
      </c>
      <c r="M97" s="101" t="s">
        <v>239</v>
      </c>
      <c r="N97" s="100"/>
      <c r="O97" s="100"/>
      <c r="P97" s="100"/>
    </row>
    <row r="98" spans="1:28" ht="24">
      <c r="A98" s="100"/>
      <c r="B98" s="102" t="s">
        <v>797</v>
      </c>
      <c r="C98" s="102" t="s">
        <v>760</v>
      </c>
      <c r="D98" s="102" t="s">
        <v>761</v>
      </c>
      <c r="E98" s="102" t="s">
        <v>742</v>
      </c>
      <c r="F98" s="102">
        <v>4</v>
      </c>
      <c r="G98" s="102">
        <v>1380</v>
      </c>
      <c r="H98" s="102">
        <v>5520</v>
      </c>
      <c r="J98" s="104" t="s">
        <v>752</v>
      </c>
      <c r="K98" s="104" t="s">
        <v>751</v>
      </c>
      <c r="L98" s="102" t="str" cm="1">
        <f t="array" ref="L98:M98">_xlfn.XLOOKUP(J98&amp;K98,D93:D101&amp;C93:C101,CHOOSE({1,2},E93:E101,H93:H101))</f>
        <v>USB Cable</v>
      </c>
      <c r="M98" s="103">
        <v>313</v>
      </c>
      <c r="N98" s="100"/>
      <c r="O98" s="100"/>
      <c r="P98" s="100"/>
    </row>
    <row r="99" spans="1:28" ht="24">
      <c r="A99" s="100"/>
      <c r="B99" s="102" t="s">
        <v>801</v>
      </c>
      <c r="C99" s="102" t="s">
        <v>763</v>
      </c>
      <c r="D99" s="102" t="s">
        <v>764</v>
      </c>
      <c r="E99" s="102" t="s">
        <v>645</v>
      </c>
      <c r="F99" s="102">
        <v>4</v>
      </c>
      <c r="G99" s="102">
        <v>27025</v>
      </c>
      <c r="H99" s="102">
        <v>108100</v>
      </c>
    </row>
    <row r="100" spans="1:28" ht="24">
      <c r="A100" s="100"/>
      <c r="B100" s="102" t="s">
        <v>799</v>
      </c>
      <c r="C100" s="102" t="s">
        <v>669</v>
      </c>
      <c r="D100" s="102" t="s">
        <v>765</v>
      </c>
      <c r="E100" s="102" t="s">
        <v>766</v>
      </c>
      <c r="F100" s="102">
        <v>1</v>
      </c>
      <c r="G100" s="102">
        <v>1400</v>
      </c>
      <c r="H100" s="102">
        <v>1400</v>
      </c>
    </row>
    <row r="101" spans="1:28" ht="24">
      <c r="A101" s="100"/>
      <c r="B101" s="102" t="s">
        <v>802</v>
      </c>
      <c r="C101" s="102" t="s">
        <v>740</v>
      </c>
      <c r="D101" s="102" t="s">
        <v>768</v>
      </c>
      <c r="E101" s="102" t="s">
        <v>757</v>
      </c>
      <c r="F101" s="102">
        <v>1</v>
      </c>
      <c r="G101" s="102">
        <v>280</v>
      </c>
      <c r="H101" s="102">
        <v>280</v>
      </c>
    </row>
    <row r="102" spans="1:28" ht="24">
      <c r="A102" s="100"/>
      <c r="B102" s="100"/>
      <c r="C102" s="100"/>
      <c r="D102" s="100"/>
      <c r="E102" s="100"/>
      <c r="F102" s="100"/>
      <c r="G102" s="100"/>
      <c r="H102" s="100"/>
    </row>
    <row r="103" spans="1:28" ht="24">
      <c r="A103" s="100"/>
      <c r="B103" s="100"/>
      <c r="C103" s="100"/>
      <c r="D103" s="100"/>
      <c r="E103" s="100"/>
      <c r="F103" s="100"/>
      <c r="G103" s="100"/>
      <c r="H103" s="100"/>
    </row>
    <row r="104" spans="1:28" ht="46.5">
      <c r="A104" s="98" t="s">
        <v>803</v>
      </c>
      <c r="B104" s="99"/>
      <c r="C104" s="99"/>
      <c r="D104" s="99"/>
      <c r="E104" s="99"/>
      <c r="F104" s="99"/>
      <c r="G104" s="99"/>
      <c r="H104" s="99"/>
    </row>
    <row r="105" spans="1:28" ht="24">
      <c r="A105" s="100"/>
      <c r="B105" s="100"/>
      <c r="C105" s="100"/>
      <c r="D105" s="100"/>
      <c r="E105" s="100"/>
      <c r="F105" s="100"/>
      <c r="G105" s="100"/>
      <c r="H105" s="100"/>
    </row>
    <row r="106" spans="1:28" ht="24">
      <c r="A106" s="100"/>
      <c r="B106" s="101" t="s">
        <v>279</v>
      </c>
      <c r="C106" s="101" t="s">
        <v>735</v>
      </c>
      <c r="D106" s="101" t="s">
        <v>736</v>
      </c>
      <c r="E106" s="101" t="s">
        <v>737</v>
      </c>
      <c r="F106" s="101" t="s">
        <v>257</v>
      </c>
      <c r="G106" s="101" t="s">
        <v>738</v>
      </c>
      <c r="H106" s="101" t="s">
        <v>239</v>
      </c>
      <c r="J106" s="124" t="s">
        <v>169</v>
      </c>
      <c r="K106" s="124" t="s">
        <v>234</v>
      </c>
      <c r="L106" s="124" t="s">
        <v>235</v>
      </c>
      <c r="M106" s="124" t="s">
        <v>236</v>
      </c>
      <c r="N106" s="124" t="s">
        <v>237</v>
      </c>
      <c r="O106" s="124" t="s">
        <v>787</v>
      </c>
      <c r="P106" s="124" t="s">
        <v>788</v>
      </c>
      <c r="R106" s="124" t="s">
        <v>169</v>
      </c>
      <c r="S106" s="124" t="s">
        <v>234</v>
      </c>
      <c r="T106" s="124" t="s">
        <v>235</v>
      </c>
      <c r="U106" s="124" t="s">
        <v>236</v>
      </c>
      <c r="V106" s="124" t="s">
        <v>237</v>
      </c>
      <c r="W106" s="124" t="s">
        <v>787</v>
      </c>
      <c r="X106" s="124" t="s">
        <v>788</v>
      </c>
      <c r="Y106" s="124" t="s">
        <v>245</v>
      </c>
      <c r="AA106" s="124" t="s">
        <v>169</v>
      </c>
      <c r="AB106" s="124" t="s">
        <v>245</v>
      </c>
    </row>
    <row r="107" spans="1:28" ht="24">
      <c r="A107" s="100"/>
      <c r="B107" s="102" t="s">
        <v>739</v>
      </c>
      <c r="C107" s="102" t="s">
        <v>740</v>
      </c>
      <c r="D107" s="102" t="s">
        <v>741</v>
      </c>
      <c r="E107" s="102" t="s">
        <v>742</v>
      </c>
      <c r="F107" s="102">
        <v>2</v>
      </c>
      <c r="G107" s="102">
        <v>1380</v>
      </c>
      <c r="H107" s="102">
        <v>2760</v>
      </c>
      <c r="J107" s="125" t="s">
        <v>789</v>
      </c>
      <c r="K107" s="102">
        <v>1200</v>
      </c>
      <c r="L107" s="102">
        <v>4500</v>
      </c>
      <c r="M107" s="102">
        <v>760040</v>
      </c>
      <c r="N107" s="102">
        <v>980000</v>
      </c>
      <c r="O107" s="102">
        <v>2300</v>
      </c>
      <c r="P107" s="102">
        <v>210500</v>
      </c>
      <c r="R107" s="125" t="s">
        <v>789</v>
      </c>
      <c r="S107" s="102">
        <v>1200</v>
      </c>
      <c r="T107" s="102">
        <v>4500</v>
      </c>
      <c r="U107" s="102">
        <v>760040</v>
      </c>
      <c r="V107" s="102">
        <v>980000</v>
      </c>
      <c r="W107" s="102">
        <v>2300</v>
      </c>
      <c r="X107" s="102">
        <v>210500</v>
      </c>
      <c r="Y107" s="102">
        <v>1958540</v>
      </c>
      <c r="AA107" s="125" t="s">
        <v>789</v>
      </c>
      <c r="AB107" s="102" cm="1">
        <f t="array" ref="AB107:AB109">_xlfn.XLOOKUP(AA107:AA109,R106:R112,Y106:Y112)</f>
        <v>1958540</v>
      </c>
    </row>
    <row r="108" spans="1:28" ht="24">
      <c r="A108" s="100"/>
      <c r="B108" s="102" t="s">
        <v>743</v>
      </c>
      <c r="C108" s="102" t="s">
        <v>669</v>
      </c>
      <c r="D108" s="102" t="s">
        <v>744</v>
      </c>
      <c r="E108" s="102" t="s">
        <v>745</v>
      </c>
      <c r="F108" s="102">
        <v>2</v>
      </c>
      <c r="G108" s="102">
        <v>5848</v>
      </c>
      <c r="H108" s="102">
        <v>11697</v>
      </c>
      <c r="J108" s="125" t="s">
        <v>790</v>
      </c>
      <c r="K108" s="102">
        <v>4300</v>
      </c>
      <c r="L108" s="102">
        <v>4000</v>
      </c>
      <c r="M108" s="102">
        <v>66000</v>
      </c>
      <c r="N108" s="102">
        <v>670000</v>
      </c>
      <c r="O108" s="102">
        <v>439800</v>
      </c>
      <c r="P108" s="102">
        <v>43900</v>
      </c>
      <c r="R108" s="125" t="s">
        <v>790</v>
      </c>
      <c r="S108" s="102">
        <v>4300</v>
      </c>
      <c r="T108" s="102">
        <v>4000</v>
      </c>
      <c r="U108" s="102">
        <v>66000</v>
      </c>
      <c r="V108" s="102">
        <v>670000</v>
      </c>
      <c r="W108" s="102">
        <v>439800</v>
      </c>
      <c r="X108" s="102">
        <v>43900</v>
      </c>
      <c r="Y108" s="102">
        <v>1228000</v>
      </c>
      <c r="AA108" s="125" t="s">
        <v>644</v>
      </c>
      <c r="AB108" s="102">
        <v>1991790</v>
      </c>
    </row>
    <row r="109" spans="1:28" ht="24">
      <c r="A109" s="100"/>
      <c r="B109" s="102" t="s">
        <v>747</v>
      </c>
      <c r="C109" s="102" t="s">
        <v>748</v>
      </c>
      <c r="D109" s="102" t="s">
        <v>749</v>
      </c>
      <c r="E109" s="102" t="s">
        <v>750</v>
      </c>
      <c r="F109" s="102">
        <v>1</v>
      </c>
      <c r="G109" s="102">
        <v>15208</v>
      </c>
      <c r="H109" s="102">
        <v>15208</v>
      </c>
      <c r="J109" s="125" t="s">
        <v>644</v>
      </c>
      <c r="K109" s="102">
        <v>10000</v>
      </c>
      <c r="L109" s="102">
        <v>56000</v>
      </c>
      <c r="M109" s="102">
        <v>65000</v>
      </c>
      <c r="N109" s="102">
        <v>870000</v>
      </c>
      <c r="O109" s="102">
        <v>540790</v>
      </c>
      <c r="P109" s="102">
        <v>450000</v>
      </c>
      <c r="R109" s="125" t="s">
        <v>644</v>
      </c>
      <c r="S109" s="102">
        <v>10000</v>
      </c>
      <c r="T109" s="102">
        <v>56000</v>
      </c>
      <c r="U109" s="102">
        <v>65000</v>
      </c>
      <c r="V109" s="102">
        <v>870000</v>
      </c>
      <c r="W109" s="102">
        <v>540790</v>
      </c>
      <c r="X109" s="102">
        <v>450000</v>
      </c>
      <c r="Y109" s="102">
        <v>1991790</v>
      </c>
      <c r="AA109" s="125" t="s">
        <v>792</v>
      </c>
      <c r="AB109" s="102">
        <v>452030</v>
      </c>
    </row>
    <row r="110" spans="1:28" ht="24">
      <c r="A110" s="100"/>
      <c r="B110" s="102" t="s">
        <v>747</v>
      </c>
      <c r="C110" s="102" t="s">
        <v>751</v>
      </c>
      <c r="D110" s="102" t="s">
        <v>752</v>
      </c>
      <c r="E110" s="102" t="s">
        <v>753</v>
      </c>
      <c r="F110" s="102">
        <v>2</v>
      </c>
      <c r="G110" s="102">
        <v>156</v>
      </c>
      <c r="H110" s="102">
        <v>313</v>
      </c>
      <c r="J110" s="125" t="s">
        <v>184</v>
      </c>
      <c r="K110" s="102">
        <v>43000</v>
      </c>
      <c r="L110" s="102">
        <v>76000</v>
      </c>
      <c r="M110" s="102">
        <v>450000</v>
      </c>
      <c r="N110" s="102">
        <v>3400</v>
      </c>
      <c r="O110" s="102">
        <v>5500</v>
      </c>
      <c r="P110" s="102">
        <v>5400</v>
      </c>
      <c r="R110" s="125" t="s">
        <v>184</v>
      </c>
      <c r="S110" s="102">
        <v>43000</v>
      </c>
      <c r="T110" s="102">
        <v>76000</v>
      </c>
      <c r="U110" s="102">
        <v>450000</v>
      </c>
      <c r="V110" s="102">
        <v>3400</v>
      </c>
      <c r="W110" s="102">
        <v>5500</v>
      </c>
      <c r="X110" s="102">
        <v>5400</v>
      </c>
      <c r="Y110" s="102">
        <v>583300</v>
      </c>
      <c r="AA110" s="100"/>
      <c r="AB110" s="100"/>
    </row>
    <row r="111" spans="1:28" ht="24">
      <c r="A111" s="100"/>
      <c r="B111" s="102" t="s">
        <v>754</v>
      </c>
      <c r="C111" s="102" t="s">
        <v>755</v>
      </c>
      <c r="D111" s="102" t="s">
        <v>756</v>
      </c>
      <c r="E111" s="102" t="s">
        <v>757</v>
      </c>
      <c r="F111" s="102">
        <v>3</v>
      </c>
      <c r="G111" s="102">
        <v>280</v>
      </c>
      <c r="H111" s="102">
        <v>840</v>
      </c>
      <c r="J111" s="125" t="s">
        <v>792</v>
      </c>
      <c r="K111" s="102">
        <v>2300</v>
      </c>
      <c r="L111" s="102">
        <v>5500</v>
      </c>
      <c r="M111" s="102">
        <v>54000</v>
      </c>
      <c r="N111" s="102">
        <v>45230</v>
      </c>
      <c r="O111" s="102">
        <v>340000</v>
      </c>
      <c r="P111" s="102">
        <v>5000</v>
      </c>
      <c r="R111" s="125" t="s">
        <v>792</v>
      </c>
      <c r="S111" s="102">
        <v>2300</v>
      </c>
      <c r="T111" s="102">
        <v>5500</v>
      </c>
      <c r="U111" s="102">
        <v>54000</v>
      </c>
      <c r="V111" s="102">
        <v>45230</v>
      </c>
      <c r="W111" s="102">
        <v>340000</v>
      </c>
      <c r="X111" s="102">
        <v>5000</v>
      </c>
      <c r="Y111" s="102">
        <v>452030</v>
      </c>
      <c r="AA111" s="124" t="s">
        <v>804</v>
      </c>
      <c r="AB111" s="124" t="s">
        <v>245</v>
      </c>
    </row>
    <row r="112" spans="1:28" ht="24">
      <c r="A112" s="100"/>
      <c r="B112" s="102" t="s">
        <v>759</v>
      </c>
      <c r="C112" s="102" t="s">
        <v>760</v>
      </c>
      <c r="D112" s="102" t="s">
        <v>761</v>
      </c>
      <c r="E112" s="102" t="s">
        <v>742</v>
      </c>
      <c r="F112" s="102">
        <v>4</v>
      </c>
      <c r="G112" s="102">
        <v>1380</v>
      </c>
      <c r="H112" s="102">
        <v>5520</v>
      </c>
      <c r="J112" s="125" t="s">
        <v>793</v>
      </c>
      <c r="K112" s="102">
        <v>54000</v>
      </c>
      <c r="L112" s="102">
        <v>560000</v>
      </c>
      <c r="M112" s="102">
        <v>34000</v>
      </c>
      <c r="N112" s="102">
        <v>77500</v>
      </c>
      <c r="O112" s="102">
        <v>540000</v>
      </c>
      <c r="P112" s="102">
        <v>340000</v>
      </c>
      <c r="R112" s="125" t="s">
        <v>793</v>
      </c>
      <c r="S112" s="102">
        <v>54000</v>
      </c>
      <c r="T112" s="102">
        <v>560000</v>
      </c>
      <c r="U112" s="102">
        <v>34000</v>
      </c>
      <c r="V112" s="102">
        <v>77500</v>
      </c>
      <c r="W112" s="102">
        <v>540000</v>
      </c>
      <c r="X112" s="102">
        <v>340000</v>
      </c>
      <c r="Y112" s="102">
        <v>1605500</v>
      </c>
      <c r="AA112" s="102" t="s">
        <v>235</v>
      </c>
      <c r="AB112" s="102" cm="1">
        <f t="array" ref="AB112:AB114">_xlfn.XLOOKUP(AA112:AA114,S106:X106,S113:X113)</f>
        <v>706000</v>
      </c>
    </row>
    <row r="113" spans="1:28" ht="24">
      <c r="A113" s="100"/>
      <c r="B113" s="102" t="s">
        <v>762</v>
      </c>
      <c r="C113" s="102" t="s">
        <v>763</v>
      </c>
      <c r="D113" s="102" t="s">
        <v>764</v>
      </c>
      <c r="E113" s="102" t="s">
        <v>645</v>
      </c>
      <c r="F113" s="102">
        <v>4</v>
      </c>
      <c r="G113" s="102">
        <v>27025</v>
      </c>
      <c r="H113" s="102">
        <v>108100</v>
      </c>
      <c r="J113" s="100"/>
      <c r="K113" s="100"/>
      <c r="L113" s="100"/>
      <c r="M113" s="100"/>
      <c r="N113" s="100"/>
      <c r="O113" s="100"/>
      <c r="P113" s="100"/>
      <c r="R113" s="127" t="s">
        <v>245</v>
      </c>
      <c r="S113" s="124">
        <v>114800</v>
      </c>
      <c r="T113" s="124">
        <v>706000</v>
      </c>
      <c r="U113" s="124">
        <v>1429040</v>
      </c>
      <c r="V113" s="124">
        <v>2646130</v>
      </c>
      <c r="W113" s="124">
        <v>1868390</v>
      </c>
      <c r="X113" s="124">
        <v>1054800</v>
      </c>
      <c r="Y113" s="124">
        <v>7819160</v>
      </c>
      <c r="AA113" s="102" t="s">
        <v>788</v>
      </c>
      <c r="AB113" s="102">
        <v>1054800</v>
      </c>
    </row>
    <row r="114" spans="1:28" ht="24">
      <c r="A114" s="100"/>
      <c r="B114" s="102" t="s">
        <v>746</v>
      </c>
      <c r="C114" s="102" t="s">
        <v>669</v>
      </c>
      <c r="D114" s="102" t="s">
        <v>765</v>
      </c>
      <c r="E114" s="102" t="s">
        <v>766</v>
      </c>
      <c r="F114" s="102">
        <v>1</v>
      </c>
      <c r="G114" s="102">
        <v>1400</v>
      </c>
      <c r="H114" s="102">
        <v>1400</v>
      </c>
      <c r="J114" s="100"/>
      <c r="K114" s="100"/>
      <c r="L114" s="100"/>
      <c r="M114" s="100"/>
      <c r="N114" s="100"/>
      <c r="O114" s="100"/>
      <c r="P114" s="100"/>
      <c r="AA114" s="102" t="s">
        <v>236</v>
      </c>
      <c r="AB114" s="102">
        <v>1429040</v>
      </c>
    </row>
    <row r="115" spans="1:28" ht="24">
      <c r="A115" s="100"/>
      <c r="B115" s="102" t="s">
        <v>767</v>
      </c>
      <c r="C115" s="102" t="s">
        <v>740</v>
      </c>
      <c r="D115" s="102" t="s">
        <v>768</v>
      </c>
      <c r="E115" s="102" t="s">
        <v>757</v>
      </c>
      <c r="F115" s="102">
        <v>1</v>
      </c>
      <c r="G115" s="102">
        <v>280</v>
      </c>
      <c r="H115" s="102">
        <v>280</v>
      </c>
      <c r="J115" s="124" t="s">
        <v>169</v>
      </c>
      <c r="K115" s="124" t="s">
        <v>804</v>
      </c>
      <c r="L115" s="126" t="s">
        <v>259</v>
      </c>
      <c r="M115" s="100"/>
      <c r="N115" s="100"/>
      <c r="O115" s="100"/>
      <c r="P115" s="100"/>
    </row>
    <row r="116" spans="1:28" ht="24">
      <c r="A116" s="100"/>
      <c r="B116" s="123"/>
      <c r="C116" s="123"/>
      <c r="D116" s="102"/>
      <c r="E116" s="102"/>
      <c r="F116" s="123"/>
      <c r="G116" s="123"/>
      <c r="H116" s="123"/>
      <c r="J116" s="102" t="s">
        <v>805</v>
      </c>
      <c r="K116" s="102" t="s">
        <v>806</v>
      </c>
      <c r="L116" t="e" cm="1">
        <f t="array" ref="L116">_xlfn.XLOOKUP(J116,J106:J112,_xlfn.XLOOKUP(K116,K106:P106,J106:P112))</f>
        <v>#VALUE!</v>
      </c>
      <c r="M116" s="100"/>
      <c r="N116" s="100"/>
      <c r="O116" s="100"/>
      <c r="P116" s="100"/>
    </row>
    <row r="117" spans="1:28" ht="24">
      <c r="A117" s="100"/>
      <c r="B117" s="100"/>
      <c r="C117" s="100"/>
      <c r="D117" s="101" t="s">
        <v>279</v>
      </c>
      <c r="E117" s="101" t="s">
        <v>807</v>
      </c>
      <c r="F117" s="100"/>
      <c r="G117" s="100"/>
      <c r="H117" s="100"/>
      <c r="L117" s="102"/>
    </row>
    <row r="118" spans="1:28" ht="24">
      <c r="A118" s="100"/>
      <c r="D118" s="102" t="s">
        <v>746</v>
      </c>
      <c r="E118" s="102" cm="1">
        <f t="array" ref="E118">_xlfn.XLOOKUP(D118,B106:B115,_xlfn.XLOOKUP(E117,B106:H106,B106:H115))</f>
        <v>1400</v>
      </c>
      <c r="F118" s="100"/>
      <c r="G118" s="100"/>
      <c r="H118" s="100"/>
    </row>
    <row r="119" spans="1:28" ht="24">
      <c r="A119" s="100"/>
      <c r="D119" s="123"/>
      <c r="E119" s="123"/>
      <c r="F119" s="100"/>
      <c r="G119" s="100"/>
      <c r="H119" s="100"/>
    </row>
    <row r="120" spans="1:28" ht="46.5">
      <c r="A120" s="98" t="s">
        <v>808</v>
      </c>
      <c r="B120" s="99"/>
      <c r="C120" s="99"/>
      <c r="D120" s="99"/>
      <c r="E120" s="99"/>
      <c r="F120" s="99"/>
      <c r="G120" s="99"/>
      <c r="H120" s="99"/>
    </row>
    <row r="121" spans="1:28" ht="24">
      <c r="A121" s="100"/>
      <c r="B121" s="100"/>
      <c r="C121" s="100"/>
      <c r="D121" s="100"/>
      <c r="E121" s="100"/>
      <c r="F121" s="100"/>
      <c r="G121" s="100"/>
      <c r="H121" s="100"/>
      <c r="I121" s="100"/>
    </row>
    <row r="122" spans="1:28" ht="24">
      <c r="A122" s="100"/>
      <c r="B122" s="101" t="s">
        <v>279</v>
      </c>
      <c r="C122" s="101" t="s">
        <v>735</v>
      </c>
      <c r="D122" s="101" t="s">
        <v>736</v>
      </c>
      <c r="E122" s="101" t="s">
        <v>737</v>
      </c>
      <c r="F122" s="101" t="s">
        <v>257</v>
      </c>
      <c r="G122" s="101" t="s">
        <v>738</v>
      </c>
      <c r="H122" s="101" t="s">
        <v>239</v>
      </c>
      <c r="I122" s="100"/>
    </row>
    <row r="123" spans="1:28" ht="24">
      <c r="A123" s="100"/>
      <c r="B123" s="102" t="s">
        <v>739</v>
      </c>
      <c r="C123" s="102" t="s">
        <v>740</v>
      </c>
      <c r="D123" s="102" t="s">
        <v>741</v>
      </c>
      <c r="E123" s="102" t="s">
        <v>742</v>
      </c>
      <c r="F123" s="102">
        <v>2</v>
      </c>
      <c r="G123" s="102">
        <v>1380</v>
      </c>
      <c r="H123" s="102">
        <v>2760</v>
      </c>
      <c r="I123" s="100"/>
    </row>
    <row r="124" spans="1:28" ht="24">
      <c r="A124" s="100"/>
      <c r="B124" s="102" t="s">
        <v>743</v>
      </c>
      <c r="C124" s="102" t="s">
        <v>669</v>
      </c>
      <c r="D124" s="102" t="s">
        <v>744</v>
      </c>
      <c r="E124" s="102" t="s">
        <v>745</v>
      </c>
      <c r="F124" s="102">
        <v>2</v>
      </c>
      <c r="G124" s="102">
        <v>5848</v>
      </c>
      <c r="H124" s="102">
        <v>11697</v>
      </c>
      <c r="I124" s="100"/>
    </row>
    <row r="125" spans="1:28" ht="24">
      <c r="A125" s="100"/>
      <c r="B125" s="102" t="s">
        <v>747</v>
      </c>
      <c r="C125" s="102" t="s">
        <v>748</v>
      </c>
      <c r="D125" s="102" t="s">
        <v>749</v>
      </c>
      <c r="E125" s="102" t="s">
        <v>750</v>
      </c>
      <c r="F125" s="102">
        <v>1</v>
      </c>
      <c r="G125" s="102">
        <v>15208</v>
      </c>
      <c r="H125" s="102">
        <v>15208</v>
      </c>
      <c r="I125" s="100"/>
    </row>
    <row r="126" spans="1:28" ht="24">
      <c r="A126" s="100"/>
      <c r="B126" s="102" t="s">
        <v>809</v>
      </c>
      <c r="C126" s="102" t="s">
        <v>751</v>
      </c>
      <c r="D126" s="102" t="s">
        <v>752</v>
      </c>
      <c r="E126" s="102" t="s">
        <v>753</v>
      </c>
      <c r="F126" s="102">
        <v>2</v>
      </c>
      <c r="G126" s="102">
        <v>156</v>
      </c>
      <c r="H126" s="102">
        <v>313</v>
      </c>
      <c r="I126" s="100"/>
    </row>
    <row r="127" spans="1:28" ht="24">
      <c r="A127" s="100"/>
      <c r="B127" s="100"/>
      <c r="C127" s="100"/>
      <c r="D127" s="100"/>
      <c r="E127" s="100"/>
      <c r="F127" s="100"/>
      <c r="G127" s="100"/>
      <c r="H127" s="100"/>
      <c r="I127" s="100"/>
      <c r="J127" s="101" t="s">
        <v>279</v>
      </c>
      <c r="K127" s="101" t="s">
        <v>735</v>
      </c>
      <c r="L127" s="101" t="s">
        <v>736</v>
      </c>
      <c r="M127" s="101" t="s">
        <v>737</v>
      </c>
      <c r="N127" s="101" t="s">
        <v>257</v>
      </c>
      <c r="O127" s="101" t="s">
        <v>738</v>
      </c>
      <c r="P127" s="101" t="s">
        <v>239</v>
      </c>
    </row>
    <row r="128" spans="1:28" ht="24">
      <c r="A128" s="100"/>
      <c r="B128" s="101" t="s">
        <v>279</v>
      </c>
      <c r="C128" s="101" t="s">
        <v>735</v>
      </c>
      <c r="D128" s="101" t="s">
        <v>736</v>
      </c>
      <c r="E128" s="101" t="s">
        <v>737</v>
      </c>
      <c r="F128" s="101" t="s">
        <v>257</v>
      </c>
      <c r="G128" s="101" t="s">
        <v>738</v>
      </c>
      <c r="H128" s="101" t="s">
        <v>239</v>
      </c>
      <c r="I128" s="100"/>
      <c r="J128" s="102" t="s">
        <v>747</v>
      </c>
      <c r="K128" s="105" t="str" cm="1">
        <f t="array" ref="K128:P128">_xlfn.XLOOKUP(J128,B122:B126,C122:H126,_xlfn.XLOOKUP(J128,B128:B132,C128:H132,_xlfn.XLOOKUP(J128,B134:B137,C134:H137)))</f>
        <v>Rahul Mehta</v>
      </c>
      <c r="L128" s="105" t="str">
        <v>CU03</v>
      </c>
      <c r="M128" s="105" t="str">
        <v>Table</v>
      </c>
      <c r="N128" s="105">
        <v>1</v>
      </c>
      <c r="O128" s="105">
        <v>15208</v>
      </c>
      <c r="P128" s="105">
        <v>15208</v>
      </c>
    </row>
    <row r="129" spans="1:14" ht="24">
      <c r="A129" s="100"/>
      <c r="B129" s="102" t="s">
        <v>754</v>
      </c>
      <c r="C129" s="102" t="s">
        <v>755</v>
      </c>
      <c r="D129" s="102" t="s">
        <v>756</v>
      </c>
      <c r="E129" s="102" t="s">
        <v>742</v>
      </c>
      <c r="F129" s="102">
        <v>3</v>
      </c>
      <c r="G129" s="102">
        <v>280</v>
      </c>
      <c r="H129" s="102">
        <v>840</v>
      </c>
      <c r="I129" s="100"/>
    </row>
    <row r="130" spans="1:14" ht="24">
      <c r="A130" s="100"/>
      <c r="B130" s="102" t="s">
        <v>759</v>
      </c>
      <c r="C130" s="102" t="s">
        <v>760</v>
      </c>
      <c r="D130" s="102" t="s">
        <v>761</v>
      </c>
      <c r="E130" s="102" t="s">
        <v>742</v>
      </c>
      <c r="F130" s="102">
        <v>4</v>
      </c>
      <c r="G130" s="102">
        <v>1380</v>
      </c>
      <c r="H130" s="102">
        <v>5520</v>
      </c>
      <c r="I130" s="100"/>
    </row>
    <row r="131" spans="1:14" ht="24">
      <c r="A131" s="100"/>
      <c r="B131" s="102" t="s">
        <v>762</v>
      </c>
      <c r="C131" s="102" t="s">
        <v>763</v>
      </c>
      <c r="D131" s="102" t="s">
        <v>764</v>
      </c>
      <c r="E131" s="102" t="s">
        <v>645</v>
      </c>
      <c r="F131" s="102">
        <v>4</v>
      </c>
      <c r="G131" s="102">
        <v>27025</v>
      </c>
      <c r="H131" s="102">
        <v>108100</v>
      </c>
      <c r="I131" s="100"/>
    </row>
    <row r="132" spans="1:14" ht="24">
      <c r="A132" s="100"/>
      <c r="B132" s="102" t="s">
        <v>746</v>
      </c>
      <c r="C132" s="102" t="s">
        <v>669</v>
      </c>
      <c r="D132" s="102" t="s">
        <v>765</v>
      </c>
      <c r="E132" s="102" t="s">
        <v>766</v>
      </c>
      <c r="F132" s="102">
        <v>1</v>
      </c>
      <c r="G132" s="102">
        <v>1400</v>
      </c>
      <c r="H132" s="102">
        <v>1400</v>
      </c>
      <c r="I132" s="100"/>
    </row>
    <row r="133" spans="1:14" ht="24">
      <c r="A133" s="100"/>
      <c r="B133" s="100"/>
      <c r="C133" s="100"/>
      <c r="D133" s="100"/>
      <c r="E133" s="100"/>
      <c r="F133" s="100"/>
      <c r="G133" s="100"/>
      <c r="H133" s="100"/>
      <c r="I133" s="100"/>
    </row>
    <row r="134" spans="1:14" ht="24">
      <c r="A134" s="100"/>
      <c r="B134" s="101" t="s">
        <v>279</v>
      </c>
      <c r="C134" s="101" t="s">
        <v>735</v>
      </c>
      <c r="D134" s="101" t="s">
        <v>736</v>
      </c>
      <c r="E134" s="101" t="s">
        <v>737</v>
      </c>
      <c r="F134" s="101" t="s">
        <v>257</v>
      </c>
      <c r="G134" s="101" t="s">
        <v>738</v>
      </c>
      <c r="H134" s="101" t="s">
        <v>239</v>
      </c>
      <c r="I134" s="100"/>
    </row>
    <row r="135" spans="1:14" ht="24">
      <c r="A135" s="100"/>
      <c r="B135" s="102" t="s">
        <v>767</v>
      </c>
      <c r="C135" s="102" t="s">
        <v>755</v>
      </c>
      <c r="D135" s="102" t="s">
        <v>756</v>
      </c>
      <c r="E135" s="102" t="s">
        <v>757</v>
      </c>
      <c r="F135" s="102">
        <v>3</v>
      </c>
      <c r="G135" s="102">
        <v>280</v>
      </c>
      <c r="H135" s="102">
        <v>840</v>
      </c>
      <c r="I135" s="100"/>
    </row>
    <row r="136" spans="1:14" ht="24">
      <c r="A136" s="100"/>
      <c r="B136" s="102" t="s">
        <v>810</v>
      </c>
      <c r="C136" s="102" t="s">
        <v>760</v>
      </c>
      <c r="D136" s="102" t="s">
        <v>761</v>
      </c>
      <c r="E136" s="102" t="s">
        <v>742</v>
      </c>
      <c r="F136" s="102">
        <v>4</v>
      </c>
      <c r="G136" s="102">
        <v>1380</v>
      </c>
      <c r="H136" s="102">
        <v>5520</v>
      </c>
      <c r="I136" s="100"/>
    </row>
    <row r="137" spans="1:14" ht="24">
      <c r="A137" s="100"/>
      <c r="B137" s="102" t="s">
        <v>811</v>
      </c>
      <c r="C137" s="102" t="s">
        <v>763</v>
      </c>
      <c r="D137" s="102" t="s">
        <v>764</v>
      </c>
      <c r="E137" s="102" t="s">
        <v>645</v>
      </c>
      <c r="F137" s="102">
        <v>4</v>
      </c>
      <c r="G137" s="102">
        <v>27025</v>
      </c>
      <c r="H137" s="102">
        <v>108100</v>
      </c>
      <c r="I137" s="100"/>
    </row>
    <row r="138" spans="1:14" ht="24">
      <c r="A138" s="100"/>
      <c r="B138" s="100"/>
      <c r="C138" s="100"/>
      <c r="D138" s="100"/>
      <c r="E138" s="100"/>
      <c r="F138" s="100"/>
      <c r="G138" s="100"/>
      <c r="H138" s="100"/>
      <c r="I138" s="100"/>
    </row>
    <row r="139" spans="1:14" ht="24">
      <c r="A139" s="100"/>
      <c r="I139" s="100"/>
    </row>
    <row r="140" spans="1:14" ht="46.5">
      <c r="A140" s="99"/>
      <c r="B140" s="98" t="s">
        <v>812</v>
      </c>
      <c r="C140" s="99"/>
      <c r="D140" s="99"/>
      <c r="E140" s="99"/>
      <c r="F140" s="99"/>
      <c r="I140" s="100"/>
    </row>
    <row r="142" spans="1:14" ht="21">
      <c r="B142" s="108" t="s">
        <v>279</v>
      </c>
      <c r="C142" s="108" t="s">
        <v>813</v>
      </c>
      <c r="D142" s="108" t="s">
        <v>814</v>
      </c>
      <c r="E142" s="108" t="s">
        <v>815</v>
      </c>
      <c r="F142" s="108" t="s">
        <v>816</v>
      </c>
      <c r="G142" s="108" t="s">
        <v>817</v>
      </c>
      <c r="H142" s="108" t="s">
        <v>807</v>
      </c>
      <c r="J142" s="109" t="s">
        <v>814</v>
      </c>
      <c r="K142" s="109" t="s">
        <v>815</v>
      </c>
      <c r="L142" s="109" t="s">
        <v>816</v>
      </c>
      <c r="M142" s="109" t="s">
        <v>817</v>
      </c>
      <c r="N142" s="109" t="s">
        <v>807</v>
      </c>
    </row>
    <row r="143" spans="1:14" ht="21">
      <c r="B143" s="106" t="s">
        <v>739</v>
      </c>
      <c r="C143" s="107">
        <v>45845</v>
      </c>
      <c r="D143" s="106" t="s">
        <v>818</v>
      </c>
      <c r="E143" s="106" t="str" cm="1">
        <f t="array" ref="E143:F143">_xlfn.XLOOKUP(D143,J142:J151,K142:L151)</f>
        <v>MANISH JAIN</v>
      </c>
      <c r="F143" s="106" t="str">
        <v>DCHD</v>
      </c>
      <c r="G143" s="106" t="s">
        <v>120</v>
      </c>
      <c r="H143" s="106">
        <f>_xlfn.XLOOKUP(G143,M142:M146,N142:N146)</f>
        <v>1380</v>
      </c>
      <c r="J143" s="106" t="s">
        <v>818</v>
      </c>
      <c r="K143" s="106" t="s">
        <v>819</v>
      </c>
      <c r="L143" s="106" t="s">
        <v>820</v>
      </c>
      <c r="M143" s="106" t="s">
        <v>120</v>
      </c>
      <c r="N143" s="106">
        <v>1380</v>
      </c>
    </row>
    <row r="144" spans="1:14" ht="21">
      <c r="B144" s="106" t="s">
        <v>743</v>
      </c>
      <c r="C144" s="107">
        <v>45846</v>
      </c>
      <c r="D144" s="106" t="s">
        <v>821</v>
      </c>
      <c r="E144" s="106" t="str" cm="1">
        <f t="array" ref="E144:F144">_xlfn.XLOOKUP(D144,J143:J152,K143:L152)</f>
        <v>PRIYA SINGH</v>
      </c>
      <c r="F144" s="106" t="str">
        <v>DHD</v>
      </c>
      <c r="G144" s="106" t="s">
        <v>822</v>
      </c>
      <c r="H144" s="106">
        <f t="shared" ref="H144:H146" si="0">_xlfn.XLOOKUP(G144,M143:M147,N143:N147)</f>
        <v>5848</v>
      </c>
      <c r="J144" s="106" t="s">
        <v>821</v>
      </c>
      <c r="K144" s="106" t="s">
        <v>823</v>
      </c>
      <c r="L144" s="106" t="s">
        <v>824</v>
      </c>
      <c r="M144" s="106" t="s">
        <v>822</v>
      </c>
      <c r="N144" s="106">
        <v>5848</v>
      </c>
    </row>
    <row r="145" spans="1:14" ht="21">
      <c r="B145" s="106" t="s">
        <v>747</v>
      </c>
      <c r="C145" s="107">
        <v>45847</v>
      </c>
      <c r="D145" s="106" t="s">
        <v>825</v>
      </c>
      <c r="E145" s="106" t="str" cm="1">
        <f t="array" ref="E145:F145">_xlfn.XLOOKUP(D145,J144:J153,K144:L153)</f>
        <v>RAHUL MEHTA</v>
      </c>
      <c r="F145" s="106" t="str">
        <v>DMHMHSD</v>
      </c>
      <c r="G145" s="106" t="s">
        <v>826</v>
      </c>
      <c r="H145" s="106">
        <f t="shared" si="0"/>
        <v>15207</v>
      </c>
      <c r="J145" s="106" t="s">
        <v>825</v>
      </c>
      <c r="K145" s="106" t="s">
        <v>827</v>
      </c>
      <c r="L145" s="106" t="s">
        <v>828</v>
      </c>
      <c r="M145" s="106" t="s">
        <v>826</v>
      </c>
      <c r="N145" s="106">
        <v>15207</v>
      </c>
    </row>
    <row r="146" spans="1:14" ht="21">
      <c r="B146" s="106" t="s">
        <v>809</v>
      </c>
      <c r="C146" s="107">
        <v>45848</v>
      </c>
      <c r="D146" s="106" t="s">
        <v>829</v>
      </c>
      <c r="E146" s="106" t="str" cm="1">
        <f t="array" ref="E146:F146">_xlfn.XLOOKUP(D146,J145:J154,K145:L154)</f>
        <v>ANJALI GUPTA</v>
      </c>
      <c r="F146" s="106" t="str">
        <v>HJ'</v>
      </c>
      <c r="G146" s="106" t="s">
        <v>830</v>
      </c>
      <c r="H146" s="106">
        <f t="shared" si="0"/>
        <v>1234</v>
      </c>
      <c r="J146" s="106" t="s">
        <v>829</v>
      </c>
      <c r="K146" s="106" t="s">
        <v>831</v>
      </c>
      <c r="L146" s="106" t="s">
        <v>832</v>
      </c>
      <c r="M146" s="106" t="s">
        <v>830</v>
      </c>
      <c r="N146" s="106">
        <v>1234</v>
      </c>
    </row>
    <row r="147" spans="1:14" ht="21">
      <c r="B147" s="106" t="s">
        <v>279</v>
      </c>
      <c r="C147" s="107">
        <v>45849</v>
      </c>
      <c r="D147" s="106" t="s">
        <v>833</v>
      </c>
      <c r="E147" s="106" t="str" cm="1">
        <f t="array" ref="E147:F147">_xlfn.XLOOKUP(D147,J146:J155,K146:L155)</f>
        <v>POOJA RAO</v>
      </c>
      <c r="F147" s="106" t="str">
        <v>DJ</v>
      </c>
      <c r="G147" s="106" t="s">
        <v>120</v>
      </c>
      <c r="H147" s="106">
        <f>_xlfn.XLOOKUP(G143,M142:M146,N142:N146)</f>
        <v>1380</v>
      </c>
      <c r="J147" s="106" t="s">
        <v>833</v>
      </c>
      <c r="K147" s="106" t="s">
        <v>834</v>
      </c>
      <c r="L147" s="106" t="s">
        <v>835</v>
      </c>
      <c r="M147" s="106"/>
      <c r="N147" s="106"/>
    </row>
    <row r="148" spans="1:14" ht="21">
      <c r="B148" s="106" t="s">
        <v>754</v>
      </c>
      <c r="C148" s="107">
        <v>45850</v>
      </c>
      <c r="D148" s="106" t="s">
        <v>836</v>
      </c>
      <c r="E148" s="106" t="str" cm="1">
        <f t="array" ref="E148:F148">_xlfn.XLOOKUP(D148,J147:J156,K147:L156)</f>
        <v>KIEAN JOSHI</v>
      </c>
      <c r="F148" s="106" t="str">
        <v>DJDHW</v>
      </c>
      <c r="G148" s="106" t="s">
        <v>822</v>
      </c>
      <c r="H148" s="106">
        <f t="shared" ref="H148:H151" si="1">_xlfn.XLOOKUP(G144,M143:M147,N143:N147)</f>
        <v>5848</v>
      </c>
      <c r="J148" s="106" t="s">
        <v>836</v>
      </c>
      <c r="K148" s="106" t="s">
        <v>837</v>
      </c>
      <c r="L148" s="106" t="s">
        <v>838</v>
      </c>
      <c r="M148" s="106"/>
      <c r="N148" s="106"/>
    </row>
    <row r="149" spans="1:14" ht="21">
      <c r="B149" s="106" t="s">
        <v>759</v>
      </c>
      <c r="C149" s="107">
        <v>45851</v>
      </c>
      <c r="D149" s="106" t="s">
        <v>839</v>
      </c>
      <c r="E149" s="106" t="str" cm="1">
        <f t="array" ref="E149:F149">_xlfn.XLOOKUP(D149,J148:J157,K148:L157)</f>
        <v>SNEHA VERMA</v>
      </c>
      <c r="F149" s="106" t="str">
        <v>JHWJ</v>
      </c>
      <c r="G149" s="106" t="s">
        <v>826</v>
      </c>
      <c r="H149" s="106">
        <f t="shared" si="1"/>
        <v>15207</v>
      </c>
      <c r="J149" s="106" t="s">
        <v>839</v>
      </c>
      <c r="K149" s="106" t="s">
        <v>840</v>
      </c>
      <c r="L149" s="106" t="s">
        <v>841</v>
      </c>
      <c r="M149" s="106"/>
      <c r="N149" s="106"/>
    </row>
    <row r="150" spans="1:14" ht="21">
      <c r="B150" s="106" t="s">
        <v>762</v>
      </c>
      <c r="C150" s="107">
        <v>45852</v>
      </c>
      <c r="D150" s="106" t="s">
        <v>842</v>
      </c>
      <c r="E150" s="106" t="str" cm="1">
        <f t="array" ref="E150:F150">_xlfn.XLOOKUP(D150,J149:J158,K149:L158)</f>
        <v>PRIYA SINGH</v>
      </c>
      <c r="F150" s="106" t="str">
        <v>CDJKCJ</v>
      </c>
      <c r="G150" s="106" t="s">
        <v>830</v>
      </c>
      <c r="H150" s="106">
        <f t="shared" si="1"/>
        <v>1234</v>
      </c>
      <c r="J150" s="106" t="s">
        <v>842</v>
      </c>
      <c r="K150" s="106" t="s">
        <v>823</v>
      </c>
      <c r="L150" s="106" t="s">
        <v>843</v>
      </c>
      <c r="M150" s="106"/>
      <c r="N150" s="106"/>
    </row>
    <row r="151" spans="1:14" ht="21">
      <c r="B151" s="106" t="s">
        <v>746</v>
      </c>
      <c r="C151" s="107">
        <v>45853</v>
      </c>
      <c r="D151" s="106" t="s">
        <v>844</v>
      </c>
      <c r="E151" s="106" t="str" cm="1">
        <f t="array" ref="E151:F151">_xlfn.XLOOKUP(D151,J150:J159,K150:L159)</f>
        <v>MANISH JAIN</v>
      </c>
      <c r="F151" s="106" t="str">
        <v>JFEJK</v>
      </c>
      <c r="G151" s="106" t="s">
        <v>120</v>
      </c>
      <c r="H151" s="106" t="e">
        <f t="shared" si="1"/>
        <v>#N/A</v>
      </c>
      <c r="J151" s="106" t="s">
        <v>844</v>
      </c>
      <c r="K151" s="106" t="s">
        <v>819</v>
      </c>
      <c r="L151" s="106" t="s">
        <v>845</v>
      </c>
      <c r="M151" s="106"/>
      <c r="N151" s="106"/>
    </row>
    <row r="154" spans="1:14" ht="46.5">
      <c r="A154" s="99"/>
      <c r="B154" s="98" t="s">
        <v>846</v>
      </c>
      <c r="C154" s="99"/>
      <c r="D154" s="99"/>
      <c r="E154" s="99"/>
      <c r="F154" s="99"/>
      <c r="G154" s="99"/>
    </row>
    <row r="155" spans="1:14" ht="24">
      <c r="A155" s="100"/>
      <c r="B155" s="100"/>
      <c r="C155" s="100"/>
      <c r="D155" s="100"/>
      <c r="E155" s="100"/>
      <c r="F155" s="100"/>
      <c r="G155" s="100"/>
    </row>
    <row r="156" spans="1:14" ht="24">
      <c r="A156" s="100"/>
      <c r="B156" s="112" t="s">
        <v>279</v>
      </c>
      <c r="C156" s="101" t="s">
        <v>735</v>
      </c>
      <c r="D156" s="101" t="s">
        <v>736</v>
      </c>
      <c r="E156" s="101" t="s">
        <v>737</v>
      </c>
      <c r="F156" s="101" t="s">
        <v>257</v>
      </c>
      <c r="G156" s="101" t="s">
        <v>738</v>
      </c>
    </row>
    <row r="157" spans="1:14" ht="24">
      <c r="A157" s="100"/>
      <c r="B157" s="102" t="s">
        <v>739</v>
      </c>
      <c r="C157" s="102" t="s">
        <v>740</v>
      </c>
      <c r="D157" s="102" t="s">
        <v>741</v>
      </c>
      <c r="E157" s="102" t="s">
        <v>742</v>
      </c>
      <c r="F157" s="102">
        <v>2</v>
      </c>
      <c r="G157" s="102">
        <v>1380</v>
      </c>
    </row>
    <row r="158" spans="1:14" ht="24">
      <c r="A158" s="100"/>
      <c r="B158" s="102" t="s">
        <v>743</v>
      </c>
      <c r="C158" s="102" t="s">
        <v>669</v>
      </c>
      <c r="D158" s="102" t="s">
        <v>744</v>
      </c>
      <c r="E158" s="102" t="s">
        <v>745</v>
      </c>
      <c r="F158" s="102">
        <v>2</v>
      </c>
      <c r="G158" s="102">
        <v>5848</v>
      </c>
    </row>
    <row r="159" spans="1:14" ht="24">
      <c r="A159" s="100"/>
      <c r="B159" s="102" t="s">
        <v>747</v>
      </c>
      <c r="C159" s="102" t="s">
        <v>748</v>
      </c>
      <c r="D159" s="102" t="s">
        <v>749</v>
      </c>
      <c r="E159" s="102" t="s">
        <v>750</v>
      </c>
      <c r="F159" s="102">
        <v>1</v>
      </c>
      <c r="G159" s="102">
        <v>15208</v>
      </c>
    </row>
    <row r="160" spans="1:14" ht="24">
      <c r="A160" s="100"/>
      <c r="B160" s="102" t="s">
        <v>747</v>
      </c>
      <c r="C160" s="102" t="s">
        <v>751</v>
      </c>
      <c r="D160" s="102" t="s">
        <v>752</v>
      </c>
      <c r="E160" s="102" t="s">
        <v>753</v>
      </c>
      <c r="F160" s="102">
        <v>2</v>
      </c>
      <c r="G160" s="102">
        <v>156</v>
      </c>
    </row>
    <row r="161" spans="1:10" ht="24">
      <c r="A161" s="100"/>
      <c r="B161" s="102" t="s">
        <v>754</v>
      </c>
      <c r="C161" s="102" t="s">
        <v>755</v>
      </c>
      <c r="D161" s="102" t="s">
        <v>756</v>
      </c>
      <c r="E161" s="102" t="s">
        <v>757</v>
      </c>
      <c r="F161" s="102">
        <v>3</v>
      </c>
      <c r="G161" s="102">
        <v>280</v>
      </c>
    </row>
    <row r="162" spans="1:10" ht="24">
      <c r="A162" s="100"/>
      <c r="B162" s="102" t="s">
        <v>759</v>
      </c>
      <c r="C162" s="102" t="s">
        <v>760</v>
      </c>
      <c r="D162" s="102" t="s">
        <v>761</v>
      </c>
      <c r="E162" s="102" t="s">
        <v>742</v>
      </c>
      <c r="F162" s="102">
        <v>4</v>
      </c>
      <c r="G162" s="102">
        <v>1380</v>
      </c>
    </row>
    <row r="163" spans="1:10" ht="24">
      <c r="A163" s="100"/>
      <c r="B163" s="102" t="s">
        <v>762</v>
      </c>
      <c r="C163" s="102" t="s">
        <v>763</v>
      </c>
      <c r="D163" s="102" t="s">
        <v>764</v>
      </c>
      <c r="E163" s="102" t="s">
        <v>645</v>
      </c>
      <c r="F163" s="102">
        <v>4</v>
      </c>
      <c r="G163" s="102">
        <v>27025</v>
      </c>
    </row>
    <row r="164" spans="1:10" ht="24">
      <c r="A164" s="100"/>
      <c r="B164" s="102" t="s">
        <v>746</v>
      </c>
      <c r="C164" s="102" t="s">
        <v>669</v>
      </c>
      <c r="D164" s="102" t="s">
        <v>765</v>
      </c>
      <c r="E164" s="102" t="s">
        <v>766</v>
      </c>
      <c r="F164" s="102">
        <v>1</v>
      </c>
      <c r="G164" s="102">
        <v>1400</v>
      </c>
    </row>
    <row r="165" spans="1:10" ht="24">
      <c r="A165" s="100"/>
      <c r="B165" s="102" t="s">
        <v>767</v>
      </c>
      <c r="C165" s="102" t="s">
        <v>740</v>
      </c>
      <c r="D165" s="102" t="s">
        <v>768</v>
      </c>
      <c r="E165" s="102" t="s">
        <v>757</v>
      </c>
      <c r="F165" s="102">
        <v>1</v>
      </c>
      <c r="G165" s="102">
        <v>280</v>
      </c>
    </row>
    <row r="166" spans="1:10" ht="24">
      <c r="A166" s="100"/>
      <c r="B166" s="100"/>
      <c r="C166" s="100"/>
      <c r="D166" s="100"/>
      <c r="E166" s="100"/>
      <c r="F166" s="100"/>
      <c r="G166" s="100"/>
    </row>
    <row r="167" spans="1:10" ht="24">
      <c r="A167" s="100"/>
      <c r="B167" s="101" t="s">
        <v>279</v>
      </c>
      <c r="C167" s="101" t="s">
        <v>735</v>
      </c>
      <c r="D167" s="100"/>
      <c r="E167" s="100"/>
      <c r="F167" s="100"/>
      <c r="G167" s="100"/>
    </row>
    <row r="168" spans="1:10" ht="24">
      <c r="A168" s="100"/>
      <c r="B168" s="102" t="s">
        <v>746</v>
      </c>
      <c r="C168" s="102" t="str">
        <f>_xlfn.XLOOKUP(B168,B156:B165,C156:C165)</f>
        <v>Priya Singh</v>
      </c>
      <c r="D168" s="100"/>
      <c r="E168" s="100"/>
      <c r="F168" s="100"/>
      <c r="G168" s="100"/>
    </row>
    <row r="171" spans="1:10" ht="46.5">
      <c r="A171" s="99"/>
      <c r="B171" s="98" t="s">
        <v>847</v>
      </c>
      <c r="C171" s="99"/>
      <c r="D171" s="99"/>
      <c r="E171" s="99"/>
      <c r="F171" s="99"/>
      <c r="G171" s="99"/>
    </row>
    <row r="172" spans="1:10" ht="24">
      <c r="A172" s="100"/>
      <c r="B172" s="100"/>
      <c r="C172" s="100"/>
      <c r="D172" s="100"/>
      <c r="E172" s="100"/>
      <c r="F172" s="100"/>
      <c r="G172" s="100"/>
    </row>
    <row r="173" spans="1:10" ht="24">
      <c r="A173" s="100"/>
      <c r="B173" s="117" t="s">
        <v>279</v>
      </c>
      <c r="C173" s="118" t="s">
        <v>735</v>
      </c>
      <c r="D173" s="118" t="s">
        <v>736</v>
      </c>
      <c r="E173" s="118" t="s">
        <v>737</v>
      </c>
      <c r="F173" s="118" t="s">
        <v>257</v>
      </c>
      <c r="G173" s="118" t="s">
        <v>738</v>
      </c>
    </row>
    <row r="174" spans="1:10" ht="24">
      <c r="A174" s="100"/>
      <c r="B174" s="115" t="s">
        <v>739</v>
      </c>
      <c r="C174" s="113" t="s">
        <v>740</v>
      </c>
      <c r="D174" s="113" t="s">
        <v>741</v>
      </c>
      <c r="E174" s="113" t="s">
        <v>742</v>
      </c>
      <c r="F174" s="113">
        <v>2</v>
      </c>
      <c r="G174" s="113">
        <v>1380</v>
      </c>
    </row>
    <row r="175" spans="1:10" ht="24">
      <c r="A175" s="100"/>
      <c r="B175" s="116" t="s">
        <v>743</v>
      </c>
      <c r="C175" s="114" t="s">
        <v>669</v>
      </c>
      <c r="D175" s="114" t="s">
        <v>744</v>
      </c>
      <c r="E175" s="114" t="s">
        <v>745</v>
      </c>
      <c r="F175" s="114">
        <v>2</v>
      </c>
      <c r="G175" s="114">
        <v>5848</v>
      </c>
    </row>
    <row r="176" spans="1:10" ht="24">
      <c r="A176" s="100"/>
      <c r="B176" s="115" t="s">
        <v>747</v>
      </c>
      <c r="C176" s="113" t="s">
        <v>748</v>
      </c>
      <c r="D176" s="113" t="s">
        <v>749</v>
      </c>
      <c r="E176" s="113" t="s">
        <v>750</v>
      </c>
      <c r="F176" s="113">
        <v>1</v>
      </c>
      <c r="G176" s="113">
        <v>15208</v>
      </c>
      <c r="I176" s="101" t="s">
        <v>279</v>
      </c>
      <c r="J176" s="101" t="s">
        <v>735</v>
      </c>
    </row>
    <row r="177" spans="1:12" ht="24">
      <c r="A177" s="100"/>
      <c r="B177" s="116" t="s">
        <v>809</v>
      </c>
      <c r="C177" s="114" t="s">
        <v>751</v>
      </c>
      <c r="D177" s="114" t="s">
        <v>752</v>
      </c>
      <c r="E177" s="114" t="s">
        <v>753</v>
      </c>
      <c r="F177" s="114">
        <v>2</v>
      </c>
      <c r="G177" s="114">
        <v>156</v>
      </c>
      <c r="I177" s="102" t="s">
        <v>848</v>
      </c>
      <c r="J177" s="119" t="str">
        <f>_xlfn.XLOOKUP(I177,B173:B184,C173:C184)</f>
        <v>MANDEEEP SINGH</v>
      </c>
    </row>
    <row r="178" spans="1:12" ht="24">
      <c r="A178" s="100"/>
      <c r="B178" s="115" t="s">
        <v>754</v>
      </c>
      <c r="C178" s="113" t="s">
        <v>755</v>
      </c>
      <c r="D178" s="113" t="s">
        <v>756</v>
      </c>
      <c r="E178" s="113" t="s">
        <v>757</v>
      </c>
      <c r="F178" s="113">
        <v>3</v>
      </c>
      <c r="G178" s="113">
        <v>280</v>
      </c>
    </row>
    <row r="179" spans="1:12" ht="24">
      <c r="A179" s="100"/>
      <c r="B179" s="116" t="s">
        <v>759</v>
      </c>
      <c r="C179" s="114" t="s">
        <v>760</v>
      </c>
      <c r="D179" s="114" t="s">
        <v>761</v>
      </c>
      <c r="E179" s="114" t="s">
        <v>742</v>
      </c>
      <c r="F179" s="114">
        <v>4</v>
      </c>
      <c r="G179" s="114">
        <v>1380</v>
      </c>
    </row>
    <row r="180" spans="1:12" ht="24">
      <c r="A180" s="100"/>
      <c r="B180" s="115" t="s">
        <v>762</v>
      </c>
      <c r="C180" s="113" t="s">
        <v>763</v>
      </c>
      <c r="D180" s="113" t="s">
        <v>764</v>
      </c>
      <c r="E180" s="113" t="s">
        <v>645</v>
      </c>
      <c r="F180" s="113">
        <v>4</v>
      </c>
      <c r="G180" s="113">
        <v>27025</v>
      </c>
    </row>
    <row r="181" spans="1:12" ht="24">
      <c r="A181" s="100"/>
      <c r="B181" s="116" t="s">
        <v>746</v>
      </c>
      <c r="C181" s="114" t="s">
        <v>669</v>
      </c>
      <c r="D181" s="114" t="s">
        <v>765</v>
      </c>
      <c r="E181" s="114" t="s">
        <v>766</v>
      </c>
      <c r="F181" s="114">
        <v>1</v>
      </c>
      <c r="G181" s="114">
        <v>1400</v>
      </c>
      <c r="K181" s="110"/>
      <c r="L181" s="111"/>
    </row>
    <row r="182" spans="1:12" ht="24">
      <c r="A182" s="100"/>
      <c r="B182" s="115" t="s">
        <v>767</v>
      </c>
      <c r="C182" s="113" t="s">
        <v>740</v>
      </c>
      <c r="D182" s="113" t="s">
        <v>768</v>
      </c>
      <c r="E182" s="113" t="s">
        <v>757</v>
      </c>
      <c r="F182" s="113">
        <v>1</v>
      </c>
      <c r="G182" s="113">
        <v>280</v>
      </c>
    </row>
    <row r="183" spans="1:12" ht="24">
      <c r="A183" s="100"/>
      <c r="B183" s="115" t="s">
        <v>811</v>
      </c>
      <c r="C183" s="113" t="s">
        <v>64</v>
      </c>
      <c r="D183" s="113"/>
      <c r="E183" s="113"/>
      <c r="F183" s="113"/>
      <c r="G183" s="113"/>
    </row>
    <row r="184" spans="1:12" ht="24">
      <c r="A184" s="100"/>
      <c r="B184" s="115" t="s">
        <v>848</v>
      </c>
      <c r="C184" s="113" t="s">
        <v>849</v>
      </c>
      <c r="D184" s="113"/>
      <c r="E184" s="113"/>
      <c r="F184" s="113"/>
      <c r="G184" s="113"/>
    </row>
    <row r="185" spans="1:12" ht="24">
      <c r="A185" s="100"/>
      <c r="D185" s="100"/>
      <c r="E185" s="100"/>
      <c r="F185" s="100"/>
      <c r="G185" s="100"/>
    </row>
    <row r="186" spans="1:12" ht="24">
      <c r="A186" s="100"/>
      <c r="D186" s="100"/>
      <c r="E186" s="100"/>
      <c r="F186" s="100"/>
      <c r="G186" s="100"/>
    </row>
    <row r="187" spans="1:12" ht="46.5">
      <c r="A187" s="99"/>
      <c r="B187" s="98" t="s">
        <v>850</v>
      </c>
      <c r="C187" s="99"/>
      <c r="D187" s="99"/>
      <c r="E187" s="99"/>
      <c r="F187" s="99"/>
      <c r="G187" s="99"/>
      <c r="H187" s="99"/>
      <c r="I187" s="99"/>
    </row>
    <row r="188" spans="1:12" ht="24">
      <c r="A188" s="100"/>
      <c r="B188" s="100"/>
      <c r="C188" s="100"/>
      <c r="D188" s="100"/>
      <c r="E188" s="100"/>
      <c r="F188" s="100"/>
      <c r="G188" s="100"/>
      <c r="H188" s="100"/>
      <c r="I188" s="100"/>
    </row>
    <row r="189" spans="1:12" ht="24">
      <c r="A189" s="100"/>
      <c r="B189" s="120" t="s">
        <v>279</v>
      </c>
      <c r="C189" s="120" t="s">
        <v>851</v>
      </c>
      <c r="D189" s="120" t="s">
        <v>735</v>
      </c>
      <c r="E189" s="120" t="s">
        <v>170</v>
      </c>
      <c r="F189" s="120" t="s">
        <v>852</v>
      </c>
      <c r="G189" s="120" t="s">
        <v>737</v>
      </c>
      <c r="H189" s="120" t="s">
        <v>257</v>
      </c>
      <c r="I189" s="120" t="s">
        <v>853</v>
      </c>
    </row>
    <row r="190" spans="1:12" ht="24">
      <c r="A190" s="100"/>
      <c r="B190" s="102" t="s">
        <v>739</v>
      </c>
      <c r="C190" s="121">
        <v>45444</v>
      </c>
      <c r="D190" s="102" t="s">
        <v>740</v>
      </c>
      <c r="E190" s="102" t="s">
        <v>173</v>
      </c>
      <c r="F190" s="102" t="s">
        <v>639</v>
      </c>
      <c r="G190" s="102" t="s">
        <v>742</v>
      </c>
      <c r="H190" s="102">
        <v>2</v>
      </c>
      <c r="I190" s="102">
        <v>1200</v>
      </c>
    </row>
    <row r="191" spans="1:12" ht="24">
      <c r="A191" s="100"/>
      <c r="B191" s="102" t="s">
        <v>743</v>
      </c>
      <c r="C191" s="121">
        <v>45444</v>
      </c>
      <c r="D191" s="102" t="s">
        <v>669</v>
      </c>
      <c r="E191" s="102" t="s">
        <v>173</v>
      </c>
      <c r="F191" s="102" t="s">
        <v>854</v>
      </c>
      <c r="G191" s="102" t="s">
        <v>745</v>
      </c>
      <c r="H191" s="102">
        <v>2</v>
      </c>
      <c r="I191" s="102">
        <v>4999</v>
      </c>
    </row>
    <row r="192" spans="1:12" ht="24">
      <c r="A192" s="100"/>
      <c r="B192" s="102" t="s">
        <v>747</v>
      </c>
      <c r="C192" s="121">
        <v>45444</v>
      </c>
      <c r="D192" s="102" t="s">
        <v>748</v>
      </c>
      <c r="E192" s="102" t="s">
        <v>180</v>
      </c>
      <c r="F192" s="102" t="s">
        <v>854</v>
      </c>
      <c r="G192" s="102" t="s">
        <v>750</v>
      </c>
      <c r="H192" s="102">
        <v>1</v>
      </c>
      <c r="I192" s="102">
        <v>12999</v>
      </c>
    </row>
    <row r="193" spans="1:9" ht="24">
      <c r="A193" s="100"/>
      <c r="B193" s="102" t="s">
        <v>809</v>
      </c>
      <c r="C193" s="121">
        <v>45488</v>
      </c>
      <c r="D193" s="102" t="s">
        <v>751</v>
      </c>
      <c r="E193" s="102" t="s">
        <v>180</v>
      </c>
      <c r="F193" s="102" t="s">
        <v>855</v>
      </c>
      <c r="G193" s="102" t="s">
        <v>753</v>
      </c>
      <c r="H193" s="102">
        <v>2</v>
      </c>
      <c r="I193" s="102">
        <v>140</v>
      </c>
    </row>
    <row r="194" spans="1:9" ht="24">
      <c r="A194" s="100"/>
      <c r="B194" s="102" t="s">
        <v>754</v>
      </c>
      <c r="C194" s="121">
        <v>45478</v>
      </c>
      <c r="D194" s="102" t="s">
        <v>755</v>
      </c>
      <c r="E194" s="102" t="s">
        <v>175</v>
      </c>
      <c r="F194" s="102" t="s">
        <v>854</v>
      </c>
      <c r="G194" s="102" t="s">
        <v>757</v>
      </c>
      <c r="H194" s="102">
        <v>3</v>
      </c>
      <c r="I194" s="102">
        <v>250</v>
      </c>
    </row>
    <row r="195" spans="1:9" ht="24">
      <c r="A195" s="100"/>
      <c r="B195" s="102" t="s">
        <v>759</v>
      </c>
      <c r="C195" s="121">
        <v>45478</v>
      </c>
      <c r="D195" s="102" t="s">
        <v>760</v>
      </c>
      <c r="E195" s="102" t="s">
        <v>175</v>
      </c>
      <c r="F195" s="102" t="s">
        <v>854</v>
      </c>
      <c r="G195" s="102" t="s">
        <v>742</v>
      </c>
      <c r="H195" s="102">
        <v>4</v>
      </c>
      <c r="I195" s="102">
        <v>1200</v>
      </c>
    </row>
    <row r="196" spans="1:9" ht="24">
      <c r="A196" s="100"/>
      <c r="B196" s="102" t="s">
        <v>762</v>
      </c>
      <c r="C196" s="121">
        <v>45478</v>
      </c>
      <c r="D196" s="102" t="s">
        <v>763</v>
      </c>
      <c r="E196" s="102" t="s">
        <v>175</v>
      </c>
      <c r="F196" s="102" t="s">
        <v>639</v>
      </c>
      <c r="G196" s="102" t="s">
        <v>645</v>
      </c>
      <c r="H196" s="102">
        <v>4</v>
      </c>
      <c r="I196" s="102">
        <v>23500</v>
      </c>
    </row>
    <row r="197" spans="1:9" ht="24">
      <c r="A197" s="100"/>
      <c r="B197" s="102" t="s">
        <v>746</v>
      </c>
      <c r="C197" s="121">
        <v>45478</v>
      </c>
      <c r="D197" s="102" t="s">
        <v>669</v>
      </c>
      <c r="E197" s="102" t="s">
        <v>177</v>
      </c>
      <c r="F197" s="102" t="s">
        <v>854</v>
      </c>
      <c r="G197" s="102" t="s">
        <v>766</v>
      </c>
      <c r="H197" s="102">
        <v>1</v>
      </c>
      <c r="I197" s="102">
        <v>1250</v>
      </c>
    </row>
    <row r="198" spans="1:9" ht="24">
      <c r="A198" s="100"/>
      <c r="B198" s="102" t="s">
        <v>767</v>
      </c>
      <c r="C198" s="121">
        <v>45478</v>
      </c>
      <c r="D198" s="102" t="s">
        <v>740</v>
      </c>
      <c r="E198" s="102" t="s">
        <v>173</v>
      </c>
      <c r="F198" s="102" t="s">
        <v>855</v>
      </c>
      <c r="G198" s="102" t="s">
        <v>757</v>
      </c>
      <c r="H198" s="102">
        <v>1</v>
      </c>
      <c r="I198" s="102">
        <v>250</v>
      </c>
    </row>
    <row r="199" spans="1:9" ht="24">
      <c r="A199" s="100"/>
      <c r="B199" s="102" t="s">
        <v>772</v>
      </c>
      <c r="C199" s="121">
        <v>45479</v>
      </c>
      <c r="D199" s="102" t="s">
        <v>856</v>
      </c>
      <c r="E199" s="102" t="s">
        <v>175</v>
      </c>
      <c r="F199" s="102" t="s">
        <v>855</v>
      </c>
      <c r="G199" s="102" t="s">
        <v>189</v>
      </c>
      <c r="H199" s="102">
        <v>4</v>
      </c>
      <c r="I199" s="102">
        <v>340</v>
      </c>
    </row>
    <row r="200" spans="1:9" ht="24">
      <c r="A200" s="100"/>
      <c r="B200" s="102" t="s">
        <v>774</v>
      </c>
      <c r="C200" s="121">
        <v>45461</v>
      </c>
      <c r="D200" s="102" t="s">
        <v>760</v>
      </c>
      <c r="E200" s="102" t="s">
        <v>177</v>
      </c>
      <c r="F200" s="102" t="s">
        <v>639</v>
      </c>
      <c r="G200" s="102" t="s">
        <v>645</v>
      </c>
      <c r="H200" s="102">
        <v>2</v>
      </c>
      <c r="I200" s="102">
        <v>23500</v>
      </c>
    </row>
    <row r="201" spans="1:9" ht="46.5">
      <c r="A201" s="99"/>
      <c r="B201" s="98"/>
      <c r="C201" s="99"/>
      <c r="D201" s="99"/>
      <c r="E201" s="99"/>
      <c r="F201" s="99"/>
      <c r="G201" s="99"/>
      <c r="H201" s="99"/>
      <c r="I201" s="99"/>
    </row>
    <row r="202" spans="1:9" ht="24">
      <c r="A202" s="100"/>
      <c r="B202" s="100"/>
      <c r="C202" s="100"/>
      <c r="D202" s="100"/>
      <c r="E202" s="100"/>
      <c r="F202" s="100"/>
      <c r="G202" s="100"/>
      <c r="H202" s="100"/>
      <c r="I202" s="100"/>
    </row>
    <row r="203" spans="1:9" ht="24">
      <c r="A203" s="100"/>
      <c r="B203" s="120" t="s">
        <v>857</v>
      </c>
      <c r="D203" s="120" t="s">
        <v>170</v>
      </c>
    </row>
    <row r="204" spans="1:9" ht="24">
      <c r="A204" s="100"/>
      <c r="B204" s="122" t="s">
        <v>858</v>
      </c>
    </row>
    <row r="205" spans="1:9" ht="24">
      <c r="A205" s="100"/>
    </row>
    <row r="206" spans="1:9" ht="24">
      <c r="A206" s="100"/>
      <c r="B206" s="120" t="s">
        <v>279</v>
      </c>
      <c r="C206" s="120" t="s">
        <v>851</v>
      </c>
      <c r="D206" s="120" t="s">
        <v>735</v>
      </c>
      <c r="E206" s="120" t="s">
        <v>170</v>
      </c>
      <c r="F206" s="120" t="s">
        <v>852</v>
      </c>
      <c r="G206" s="120" t="s">
        <v>737</v>
      </c>
      <c r="H206" s="120" t="s">
        <v>257</v>
      </c>
      <c r="I206" s="120" t="s">
        <v>853</v>
      </c>
    </row>
    <row r="207" spans="1:9" ht="24">
      <c r="A207" s="100"/>
      <c r="B207" s="102" t="str" cm="1">
        <f t="array" ref="B207:I208">_xlfn._xlws.FILTER(B189:I200,B204=G189:G200)</f>
        <v>ORD007</v>
      </c>
      <c r="C207" s="121">
        <v>45478</v>
      </c>
      <c r="D207" s="102" t="str">
        <v>Sneha Verma</v>
      </c>
      <c r="E207" s="102" t="str">
        <v>West</v>
      </c>
      <c r="F207" s="102" t="str">
        <v>Electronics</v>
      </c>
      <c r="G207" s="102" t="str">
        <v>Tablet</v>
      </c>
      <c r="H207" s="102">
        <v>4</v>
      </c>
      <c r="I207" s="102">
        <v>23500</v>
      </c>
    </row>
    <row r="208" spans="1:9" ht="24">
      <c r="A208" s="100"/>
      <c r="B208" s="102" t="str">
        <v>ORD011</v>
      </c>
      <c r="C208" s="121">
        <v>45461</v>
      </c>
      <c r="D208" s="102" t="str">
        <v>Kiran Joshi</v>
      </c>
      <c r="E208" s="102" t="str">
        <v>South</v>
      </c>
      <c r="F208" s="102" t="str">
        <v>Electronics</v>
      </c>
      <c r="G208" s="102" t="str">
        <v>Tablet</v>
      </c>
      <c r="H208" s="102">
        <v>2</v>
      </c>
      <c r="I208" s="102">
        <v>23500</v>
      </c>
    </row>
    <row r="209" spans="1:9" ht="24">
      <c r="B209" s="102"/>
      <c r="C209" s="121"/>
      <c r="D209" s="102"/>
      <c r="E209" s="102"/>
      <c r="F209" s="102"/>
      <c r="G209" s="102"/>
      <c r="H209" s="102"/>
      <c r="I209" s="102"/>
    </row>
    <row r="210" spans="1:9" ht="24">
      <c r="B210" s="102"/>
      <c r="C210" s="121"/>
      <c r="D210" s="102"/>
      <c r="E210" s="102"/>
      <c r="F210" s="102"/>
      <c r="G210" s="102"/>
      <c r="H210" s="102"/>
      <c r="I210" s="102"/>
    </row>
    <row r="211" spans="1:9" ht="24">
      <c r="B211" s="102"/>
      <c r="C211" s="121"/>
      <c r="D211" s="102"/>
      <c r="E211" s="102"/>
      <c r="F211" s="102"/>
      <c r="G211" s="102"/>
      <c r="H211" s="102"/>
      <c r="I211" s="102"/>
    </row>
    <row r="214" spans="1:9" ht="46.5">
      <c r="A214" s="99"/>
      <c r="B214" s="98" t="s">
        <v>859</v>
      </c>
      <c r="C214" s="99"/>
      <c r="D214" s="99"/>
      <c r="E214" s="99"/>
      <c r="F214" s="99"/>
      <c r="G214" s="99"/>
      <c r="H214" s="99"/>
      <c r="I214" s="99"/>
    </row>
    <row r="216" spans="1:9" ht="24">
      <c r="B216" s="124" t="s">
        <v>169</v>
      </c>
      <c r="C216" s="124" t="s">
        <v>234</v>
      </c>
      <c r="D216" s="124" t="s">
        <v>235</v>
      </c>
      <c r="E216" s="124" t="s">
        <v>236</v>
      </c>
      <c r="F216" s="124" t="s">
        <v>237</v>
      </c>
      <c r="G216" s="124" t="s">
        <v>787</v>
      </c>
      <c r="H216" s="124" t="s">
        <v>788</v>
      </c>
    </row>
    <row r="217" spans="1:9" ht="24">
      <c r="B217" s="125" t="s">
        <v>789</v>
      </c>
      <c r="C217" s="102">
        <v>1200</v>
      </c>
      <c r="D217" s="102">
        <v>4500</v>
      </c>
      <c r="E217" s="102">
        <v>760040</v>
      </c>
      <c r="F217" s="102">
        <v>980000</v>
      </c>
      <c r="G217" s="102">
        <v>2300</v>
      </c>
      <c r="H217" s="102">
        <v>210500</v>
      </c>
    </row>
    <row r="218" spans="1:9" ht="24">
      <c r="B218" s="125" t="s">
        <v>790</v>
      </c>
      <c r="C218" s="102">
        <v>4300</v>
      </c>
      <c r="D218" s="102">
        <v>4000</v>
      </c>
      <c r="E218" s="102">
        <v>66000</v>
      </c>
      <c r="F218" s="102">
        <v>670000</v>
      </c>
      <c r="G218" s="102">
        <v>439800</v>
      </c>
      <c r="H218" s="102">
        <v>43900</v>
      </c>
    </row>
    <row r="219" spans="1:9" ht="24">
      <c r="B219" s="125" t="s">
        <v>644</v>
      </c>
      <c r="C219" s="102">
        <v>10000</v>
      </c>
      <c r="D219" s="102">
        <v>56000</v>
      </c>
      <c r="E219" s="102">
        <v>65000</v>
      </c>
      <c r="F219" s="102">
        <v>870000</v>
      </c>
      <c r="G219" s="102">
        <v>540790</v>
      </c>
      <c r="H219" s="102">
        <v>450000</v>
      </c>
    </row>
    <row r="220" spans="1:9" ht="24">
      <c r="B220" s="125" t="s">
        <v>184</v>
      </c>
      <c r="C220" s="102">
        <v>43000</v>
      </c>
      <c r="D220" s="102">
        <v>76000</v>
      </c>
      <c r="E220" s="102">
        <v>450000</v>
      </c>
      <c r="F220" s="102">
        <v>3400</v>
      </c>
      <c r="G220" s="102">
        <v>5500</v>
      </c>
      <c r="H220" s="102">
        <v>5400</v>
      </c>
    </row>
    <row r="221" spans="1:9" ht="24">
      <c r="B221" s="125" t="s">
        <v>792</v>
      </c>
      <c r="C221" s="102">
        <v>2300</v>
      </c>
      <c r="D221" s="102">
        <v>5500</v>
      </c>
      <c r="E221" s="102">
        <v>54000</v>
      </c>
      <c r="F221" s="102">
        <v>45230</v>
      </c>
      <c r="G221" s="102">
        <v>340000</v>
      </c>
      <c r="H221" s="102">
        <v>5000</v>
      </c>
    </row>
    <row r="222" spans="1:9" ht="24">
      <c r="B222" s="125" t="s">
        <v>793</v>
      </c>
      <c r="C222" s="102">
        <v>54000</v>
      </c>
      <c r="D222" s="102">
        <v>560000</v>
      </c>
      <c r="E222" s="102">
        <v>34000</v>
      </c>
      <c r="F222" s="102">
        <v>77500</v>
      </c>
      <c r="G222" s="102">
        <v>540000</v>
      </c>
      <c r="H222" s="102">
        <v>340000</v>
      </c>
    </row>
    <row r="223" spans="1:9" ht="24">
      <c r="B223" s="100"/>
      <c r="C223" s="100"/>
      <c r="D223" s="100"/>
      <c r="E223" s="100"/>
      <c r="F223" s="100"/>
      <c r="G223" s="100"/>
      <c r="H223" s="100"/>
    </row>
    <row r="224" spans="1:9" ht="24">
      <c r="B224" s="100"/>
      <c r="C224" s="100"/>
      <c r="D224" s="100"/>
      <c r="E224" s="100"/>
      <c r="F224" s="100"/>
      <c r="G224" s="100"/>
      <c r="H224" s="100"/>
    </row>
    <row r="225" spans="1:16" ht="24">
      <c r="B225" s="124" t="s">
        <v>169</v>
      </c>
      <c r="C225" s="124" t="s">
        <v>239</v>
      </c>
      <c r="D225" s="100"/>
      <c r="E225" s="100"/>
      <c r="F225" s="100"/>
      <c r="G225" s="100"/>
      <c r="H225" s="100"/>
    </row>
    <row r="226" spans="1:16" ht="24">
      <c r="B226" s="125" t="s">
        <v>793</v>
      </c>
      <c r="C226" s="105">
        <f>SUM(_xlfn.XLOOKUP(B226,B216:B222,B216:H222))</f>
        <v>1605500</v>
      </c>
      <c r="D226" s="100"/>
      <c r="E226" s="100"/>
      <c r="F226" s="100"/>
      <c r="G226" s="100"/>
      <c r="H226" s="100"/>
    </row>
    <row r="229" spans="1:16" ht="46.5">
      <c r="A229" s="98"/>
      <c r="B229" s="98"/>
      <c r="C229" s="98"/>
      <c r="D229" s="99"/>
      <c r="E229" s="99"/>
      <c r="F229" s="99"/>
      <c r="G229" s="99"/>
      <c r="H229" s="99"/>
      <c r="I229" s="99"/>
    </row>
    <row r="231" spans="1:16">
      <c r="A231" s="90" t="s">
        <v>860</v>
      </c>
      <c r="B231" s="91" t="s">
        <v>861</v>
      </c>
      <c r="C231" s="91" t="s">
        <v>87</v>
      </c>
      <c r="D231" s="91" t="s">
        <v>862</v>
      </c>
      <c r="E231" s="91" t="s">
        <v>863</v>
      </c>
      <c r="H231" s="93" t="s">
        <v>862</v>
      </c>
      <c r="I231" s="92">
        <v>1000004</v>
      </c>
    </row>
    <row r="232" spans="1:16">
      <c r="A232" s="92" t="s">
        <v>64</v>
      </c>
      <c r="B232" s="92">
        <v>750000</v>
      </c>
      <c r="C232" s="92" t="s">
        <v>864</v>
      </c>
      <c r="D232" s="92">
        <v>10000001</v>
      </c>
      <c r="E232" s="92" t="s">
        <v>865</v>
      </c>
      <c r="H232" s="94" t="s">
        <v>860</v>
      </c>
      <c r="I232" s="92" t="str" cm="1">
        <f t="array" ref="I232">_xlfn.XLOOKUP($I$231,$D$231:$D$236,INDEX($A$231:$E$236,,MATCH(H232,$A$231:$E$231,0)))</f>
        <v>MANDEEP</v>
      </c>
    </row>
    <row r="233" spans="1:16">
      <c r="A233" s="92" t="s">
        <v>66</v>
      </c>
      <c r="B233" s="92">
        <v>56000</v>
      </c>
      <c r="C233" s="92" t="s">
        <v>864</v>
      </c>
      <c r="D233" s="92">
        <v>1000004</v>
      </c>
      <c r="E233" s="92" t="s">
        <v>866</v>
      </c>
      <c r="H233" s="93" t="s">
        <v>87</v>
      </c>
      <c r="I233" s="92" t="str" cm="1">
        <f t="array" ref="I233">_xlfn.XLOOKUP($I$231,$D$231:$D$236,INDEX($A$231:$E$236,,MATCH(H233,$A$231:$E$231,0)))</f>
        <v>PTH</v>
      </c>
      <c r="P233" t="s">
        <v>867</v>
      </c>
    </row>
    <row r="234" spans="1:16">
      <c r="A234" s="92" t="s">
        <v>68</v>
      </c>
      <c r="B234" s="92">
        <v>34000</v>
      </c>
      <c r="C234" s="92" t="s">
        <v>864</v>
      </c>
      <c r="D234" s="92">
        <v>10000002</v>
      </c>
      <c r="E234" s="92" t="s">
        <v>866</v>
      </c>
      <c r="H234" s="93" t="s">
        <v>861</v>
      </c>
      <c r="I234" s="92" cm="1">
        <f t="array" ref="I234">_xlfn.XLOOKUP($I$231,$D$231:$D$236,INDEX($A$231:$E$236,,MATCH(H234,$A$231:$E$231,0)))</f>
        <v>56000</v>
      </c>
    </row>
    <row r="235" spans="1:16">
      <c r="A235" s="92" t="s">
        <v>868</v>
      </c>
      <c r="B235" s="92">
        <v>880000</v>
      </c>
      <c r="C235" s="92" t="s">
        <v>864</v>
      </c>
      <c r="D235" s="92">
        <v>10000002</v>
      </c>
      <c r="E235" s="92" t="s">
        <v>866</v>
      </c>
      <c r="H235" s="93" t="s">
        <v>863</v>
      </c>
      <c r="I235" s="92" t="str" cm="1">
        <f t="array" ref="I235">_xlfn.XLOOKUP($I$231,$D$231:$D$236,INDEX($A$231:$E$236,,MATCH(H235,$A$231:$E$231,0)))</f>
        <v>CRRNT</v>
      </c>
    </row>
    <row r="236" spans="1:16">
      <c r="A236" s="92" t="s">
        <v>72</v>
      </c>
      <c r="B236" s="92">
        <v>34000</v>
      </c>
      <c r="C236" s="92" t="s">
        <v>864</v>
      </c>
      <c r="D236" s="92">
        <v>10000002</v>
      </c>
      <c r="E236" s="92" t="s">
        <v>866</v>
      </c>
    </row>
    <row r="238" spans="1:16">
      <c r="H238" s="93" t="s">
        <v>862</v>
      </c>
      <c r="I238" s="92">
        <v>1000004</v>
      </c>
    </row>
    <row r="239" spans="1:16">
      <c r="H239" s="94" t="s">
        <v>860</v>
      </c>
      <c r="I239" s="92" t="str" cm="1">
        <f t="array" ref="I239:I242">TRANSPOSE(_xlfn.XLOOKUP($I$238,$D$231:$D$236,_xlfn.CHOOSECOLS($A$231:$E$236,1,2,3,5)))</f>
        <v>MANDEEP</v>
      </c>
    </row>
    <row r="240" spans="1:16">
      <c r="H240" s="93" t="s">
        <v>861</v>
      </c>
      <c r="I240" s="92">
        <v>56000</v>
      </c>
    </row>
    <row r="241" spans="4:15">
      <c r="H241" s="93" t="s">
        <v>87</v>
      </c>
      <c r="I241" s="92" t="str">
        <v>PTH</v>
      </c>
    </row>
    <row r="242" spans="4:15">
      <c r="H242" s="93" t="s">
        <v>863</v>
      </c>
      <c r="I242" s="92" t="str">
        <v>CRRNT</v>
      </c>
    </row>
    <row r="246" spans="4:15">
      <c r="D246" s="95" t="s">
        <v>860</v>
      </c>
      <c r="E246" s="96" t="s">
        <v>861</v>
      </c>
      <c r="F246" s="96" t="s">
        <v>87</v>
      </c>
      <c r="G246" s="96" t="s">
        <v>862</v>
      </c>
      <c r="H246" s="96" t="s">
        <v>863</v>
      </c>
    </row>
    <row r="247" spans="4:15">
      <c r="D247" s="97" t="s">
        <v>64</v>
      </c>
      <c r="E247" s="97">
        <v>750000</v>
      </c>
      <c r="F247" s="97" t="s">
        <v>864</v>
      </c>
      <c r="G247" s="97">
        <v>10000001</v>
      </c>
      <c r="H247" s="97" t="s">
        <v>865</v>
      </c>
    </row>
    <row r="248" spans="4:15">
      <c r="D248" s="97" t="s">
        <v>66</v>
      </c>
      <c r="E248" s="97">
        <v>56000</v>
      </c>
      <c r="F248" s="97" t="s">
        <v>864</v>
      </c>
      <c r="G248" s="97">
        <v>10000002</v>
      </c>
      <c r="H248" s="97" t="s">
        <v>866</v>
      </c>
    </row>
    <row r="249" spans="4:15">
      <c r="D249" s="97" t="s">
        <v>68</v>
      </c>
      <c r="E249" s="97">
        <v>34000</v>
      </c>
      <c r="F249" s="97" t="s">
        <v>864</v>
      </c>
      <c r="G249" s="97">
        <v>10000003</v>
      </c>
      <c r="H249" s="97" t="s">
        <v>866</v>
      </c>
    </row>
    <row r="250" spans="4:15">
      <c r="D250" s="97" t="s">
        <v>868</v>
      </c>
      <c r="E250" s="97">
        <v>880000</v>
      </c>
      <c r="F250" s="97" t="s">
        <v>864</v>
      </c>
      <c r="G250" s="97">
        <v>10000004</v>
      </c>
      <c r="H250" s="97" t="s">
        <v>866</v>
      </c>
      <c r="K250" s="96" t="s">
        <v>862</v>
      </c>
      <c r="L250" s="97">
        <v>10000009</v>
      </c>
      <c r="N250" s="96" t="s">
        <v>862</v>
      </c>
      <c r="O250" s="97">
        <v>10000009</v>
      </c>
    </row>
    <row r="251" spans="4:15">
      <c r="D251" s="97" t="s">
        <v>72</v>
      </c>
      <c r="E251" s="97">
        <v>34000</v>
      </c>
      <c r="F251" s="97" t="s">
        <v>864</v>
      </c>
      <c r="G251" s="97">
        <v>10000005</v>
      </c>
      <c r="H251" s="97" t="s">
        <v>866</v>
      </c>
      <c r="K251" s="95" t="s">
        <v>860</v>
      </c>
      <c r="L251" t="str">
        <f>_xlfn.XLOOKUP(L250,G246:G251,D246:D251,_xlfn.XLOOKUP(L250,G254:G259,D254:D259))</f>
        <v>KOMAL</v>
      </c>
      <c r="N251" s="95" t="s">
        <v>860</v>
      </c>
      <c r="O251">
        <v>4</v>
      </c>
    </row>
    <row r="252" spans="4:15">
      <c r="K252" s="96" t="s">
        <v>861</v>
      </c>
      <c r="N252" s="96" t="s">
        <v>861</v>
      </c>
    </row>
    <row r="253" spans="4:15">
      <c r="K253" s="96" t="s">
        <v>87</v>
      </c>
      <c r="N253" s="96" t="s">
        <v>87</v>
      </c>
    </row>
    <row r="254" spans="4:15">
      <c r="D254" s="95" t="s">
        <v>860</v>
      </c>
      <c r="E254" s="96" t="s">
        <v>861</v>
      </c>
      <c r="F254" s="96" t="s">
        <v>87</v>
      </c>
      <c r="G254" s="96" t="s">
        <v>862</v>
      </c>
      <c r="H254" s="96" t="s">
        <v>863</v>
      </c>
    </row>
    <row r="255" spans="4:15">
      <c r="D255" s="97" t="s">
        <v>397</v>
      </c>
      <c r="E255" s="97">
        <v>750000</v>
      </c>
      <c r="F255" s="97" t="s">
        <v>869</v>
      </c>
      <c r="G255" s="97">
        <v>10000006</v>
      </c>
      <c r="H255" s="97" t="s">
        <v>865</v>
      </c>
    </row>
    <row r="256" spans="4:15">
      <c r="D256" s="97" t="s">
        <v>870</v>
      </c>
      <c r="E256" s="97">
        <v>56000</v>
      </c>
      <c r="F256" s="97" t="s">
        <v>871</v>
      </c>
      <c r="G256" s="97">
        <v>10000007</v>
      </c>
      <c r="H256" s="97" t="s">
        <v>866</v>
      </c>
    </row>
    <row r="257" spans="4:16">
      <c r="D257" s="97" t="s">
        <v>872</v>
      </c>
      <c r="E257" s="97">
        <v>34000</v>
      </c>
      <c r="F257" s="97" t="s">
        <v>873</v>
      </c>
      <c r="G257" s="97">
        <v>10000008</v>
      </c>
      <c r="H257" s="97" t="s">
        <v>866</v>
      </c>
    </row>
    <row r="258" spans="4:16">
      <c r="D258" s="97" t="s">
        <v>874</v>
      </c>
      <c r="E258" s="97">
        <v>880000</v>
      </c>
      <c r="F258" s="97" t="s">
        <v>89</v>
      </c>
      <c r="G258" s="97">
        <v>10000009</v>
      </c>
      <c r="H258" s="97" t="s">
        <v>866</v>
      </c>
    </row>
    <row r="259" spans="4:16">
      <c r="D259" s="97" t="s">
        <v>875</v>
      </c>
      <c r="E259" s="97">
        <v>34000</v>
      </c>
      <c r="F259" s="97" t="s">
        <v>864</v>
      </c>
      <c r="G259" s="97">
        <v>10000010</v>
      </c>
      <c r="H259" s="97" t="s">
        <v>866</v>
      </c>
    </row>
    <row r="261" spans="4:16">
      <c r="P261" s="96" t="s">
        <v>863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6A04-2769-4FD1-A30A-EF7D58C7CF94}">
  <dimension ref="A1:W24"/>
  <sheetViews>
    <sheetView topLeftCell="H34" workbookViewId="0">
      <selection activeCell="Q32" sqref="Q32"/>
    </sheetView>
  </sheetViews>
  <sheetFormatPr defaultRowHeight="15"/>
  <cols>
    <col min="1" max="1" width="9.28515625" bestFit="1" customWidth="1"/>
    <col min="4" max="4" width="9.85546875" bestFit="1" customWidth="1"/>
    <col min="10" max="10" width="9.42578125" bestFit="1" customWidth="1"/>
    <col min="11" max="11" width="9.85546875" bestFit="1" customWidth="1"/>
    <col min="12" max="12" width="13.7109375" bestFit="1" customWidth="1"/>
    <col min="13" max="13" width="12.5703125" bestFit="1" customWidth="1"/>
    <col min="16" max="16" width="11.85546875" bestFit="1" customWidth="1"/>
    <col min="17" max="17" width="10.85546875" bestFit="1" customWidth="1"/>
    <col min="18" max="18" width="10.28515625" bestFit="1" customWidth="1"/>
    <col min="19" max="19" width="36.5703125" bestFit="1" customWidth="1"/>
  </cols>
  <sheetData>
    <row r="1" spans="1:23">
      <c r="A1" s="7" t="s">
        <v>876</v>
      </c>
      <c r="B1" s="7" t="s">
        <v>877</v>
      </c>
      <c r="C1" s="7" t="s">
        <v>878</v>
      </c>
      <c r="D1" s="7" t="s">
        <v>879</v>
      </c>
      <c r="E1" s="7" t="s">
        <v>64</v>
      </c>
      <c r="F1" s="7" t="s">
        <v>880</v>
      </c>
      <c r="G1" s="7" t="s">
        <v>881</v>
      </c>
      <c r="J1" s="17" t="s">
        <v>882</v>
      </c>
      <c r="K1" s="18" t="s">
        <v>883</v>
      </c>
      <c r="L1" s="19" t="s">
        <v>217</v>
      </c>
      <c r="M1" s="19" t="s">
        <v>884</v>
      </c>
      <c r="N1" s="18" t="s">
        <v>108</v>
      </c>
      <c r="P1" s="11"/>
    </row>
    <row r="2" spans="1:23">
      <c r="A2" s="5">
        <v>45658</v>
      </c>
      <c r="B2" s="8">
        <v>45000</v>
      </c>
      <c r="C2" s="6">
        <v>34000</v>
      </c>
      <c r="D2" s="9">
        <v>45000</v>
      </c>
      <c r="E2" s="6">
        <v>34000</v>
      </c>
      <c r="F2" s="10">
        <v>45000</v>
      </c>
      <c r="G2" s="6">
        <v>34000</v>
      </c>
      <c r="J2" s="12" t="s">
        <v>885</v>
      </c>
      <c r="K2" s="13" t="s">
        <v>886</v>
      </c>
      <c r="L2" s="14" t="s">
        <v>88</v>
      </c>
      <c r="M2" s="12">
        <v>50</v>
      </c>
      <c r="N2" s="16">
        <v>10</v>
      </c>
      <c r="Q2" s="17" t="s">
        <v>37</v>
      </c>
      <c r="R2" s="18" t="s">
        <v>38</v>
      </c>
      <c r="S2" s="19" t="s">
        <v>39</v>
      </c>
      <c r="T2" s="19" t="s">
        <v>40</v>
      </c>
      <c r="U2" s="18" t="s">
        <v>41</v>
      </c>
    </row>
    <row r="3" spans="1:23">
      <c r="A3" s="5">
        <v>45659</v>
      </c>
      <c r="B3" s="8">
        <v>34000</v>
      </c>
      <c r="C3" s="6">
        <v>56000</v>
      </c>
      <c r="D3" s="9">
        <v>34000</v>
      </c>
      <c r="E3" s="6">
        <v>56000</v>
      </c>
      <c r="F3" s="10">
        <v>34000</v>
      </c>
      <c r="G3" s="6">
        <v>56000</v>
      </c>
      <c r="J3" s="12" t="s">
        <v>887</v>
      </c>
      <c r="K3" s="13" t="s">
        <v>888</v>
      </c>
      <c r="L3" s="15" t="s">
        <v>889</v>
      </c>
      <c r="M3" s="16">
        <v>24</v>
      </c>
      <c r="N3" s="16">
        <v>20</v>
      </c>
      <c r="Q3" s="12" t="s">
        <v>44</v>
      </c>
      <c r="R3" s="13">
        <v>456</v>
      </c>
      <c r="S3" s="14">
        <v>678</v>
      </c>
      <c r="T3" s="12">
        <v>990</v>
      </c>
      <c r="U3" s="16">
        <v>345</v>
      </c>
    </row>
    <row r="4" spans="1:23">
      <c r="A4" s="5">
        <v>45660</v>
      </c>
      <c r="B4" s="8">
        <v>50000</v>
      </c>
      <c r="C4" s="6">
        <v>23000</v>
      </c>
      <c r="D4" s="9">
        <v>50000</v>
      </c>
      <c r="E4" s="6">
        <v>23000</v>
      </c>
      <c r="F4" s="10">
        <v>50000</v>
      </c>
      <c r="G4" s="6">
        <v>23000</v>
      </c>
      <c r="J4" s="12" t="s">
        <v>890</v>
      </c>
      <c r="K4" s="13" t="s">
        <v>891</v>
      </c>
      <c r="L4" s="15" t="s">
        <v>892</v>
      </c>
      <c r="M4" s="16">
        <v>56</v>
      </c>
      <c r="N4" s="16">
        <v>23</v>
      </c>
      <c r="Q4" s="12"/>
      <c r="R4" s="13"/>
      <c r="S4" s="15"/>
      <c r="T4" s="16"/>
      <c r="U4" s="16"/>
    </row>
    <row r="5" spans="1:23">
      <c r="A5" s="5">
        <v>45661</v>
      </c>
      <c r="B5" s="8">
        <v>48000</v>
      </c>
      <c r="C5" s="6">
        <v>45000</v>
      </c>
      <c r="D5" s="9">
        <v>48000</v>
      </c>
      <c r="E5" s="6">
        <v>45000</v>
      </c>
      <c r="F5" s="10">
        <v>48000</v>
      </c>
      <c r="G5" s="6">
        <v>45000</v>
      </c>
      <c r="J5" s="12" t="s">
        <v>893</v>
      </c>
      <c r="K5" s="13" t="s">
        <v>894</v>
      </c>
      <c r="L5" s="15" t="s">
        <v>895</v>
      </c>
      <c r="M5" s="16">
        <v>67</v>
      </c>
      <c r="N5" s="16">
        <v>34</v>
      </c>
      <c r="Q5" s="12"/>
      <c r="R5" s="13"/>
      <c r="S5" s="15"/>
      <c r="T5" s="16"/>
      <c r="U5" s="16"/>
    </row>
    <row r="6" spans="1:23">
      <c r="A6" s="5">
        <v>45662</v>
      </c>
      <c r="B6" s="8">
        <v>50500</v>
      </c>
      <c r="C6" s="6">
        <v>34000</v>
      </c>
      <c r="D6" s="9">
        <v>50500</v>
      </c>
      <c r="E6" s="6">
        <v>34000</v>
      </c>
      <c r="F6" s="10">
        <v>50500</v>
      </c>
      <c r="G6" s="6">
        <v>34000</v>
      </c>
      <c r="J6" s="12" t="s">
        <v>896</v>
      </c>
      <c r="K6" s="13" t="s">
        <v>897</v>
      </c>
      <c r="L6" s="15" t="s">
        <v>898</v>
      </c>
      <c r="M6" s="16">
        <v>78</v>
      </c>
      <c r="N6" s="16">
        <v>34</v>
      </c>
      <c r="S6" s="20"/>
    </row>
    <row r="7" spans="1:23">
      <c r="A7" s="5">
        <v>45663</v>
      </c>
      <c r="B7" s="8">
        <v>53000</v>
      </c>
      <c r="C7" s="6">
        <v>50000</v>
      </c>
      <c r="D7" s="9">
        <v>53000</v>
      </c>
      <c r="E7" s="6">
        <v>50000</v>
      </c>
      <c r="F7" s="10">
        <v>53000</v>
      </c>
      <c r="G7" s="6">
        <v>50000</v>
      </c>
      <c r="J7" s="12" t="s">
        <v>899</v>
      </c>
      <c r="K7" s="13" t="s">
        <v>886</v>
      </c>
      <c r="L7" s="15" t="s">
        <v>88</v>
      </c>
      <c r="M7" s="16">
        <v>89</v>
      </c>
      <c r="N7" s="16">
        <v>56</v>
      </c>
    </row>
    <row r="8" spans="1:23">
      <c r="A8" s="5">
        <v>45664</v>
      </c>
      <c r="B8" s="8">
        <v>55500</v>
      </c>
      <c r="C8" s="6">
        <v>48000</v>
      </c>
      <c r="D8" s="9">
        <v>55500</v>
      </c>
      <c r="E8" s="6">
        <v>48000</v>
      </c>
      <c r="F8" s="10">
        <v>55500</v>
      </c>
      <c r="G8" s="6">
        <v>48000</v>
      </c>
      <c r="J8" s="12" t="s">
        <v>900</v>
      </c>
      <c r="K8" s="13" t="s">
        <v>888</v>
      </c>
      <c r="L8" s="14" t="s">
        <v>88</v>
      </c>
      <c r="M8" s="16">
        <v>90</v>
      </c>
      <c r="N8" s="16">
        <v>67</v>
      </c>
    </row>
    <row r="9" spans="1:23">
      <c r="A9" s="5">
        <v>45665</v>
      </c>
      <c r="B9" s="8">
        <v>58000</v>
      </c>
      <c r="C9" s="6">
        <v>50500</v>
      </c>
      <c r="D9" s="9">
        <v>58000</v>
      </c>
      <c r="E9" s="6">
        <v>50500</v>
      </c>
      <c r="F9" s="10">
        <v>58000</v>
      </c>
      <c r="G9" s="6">
        <v>50500</v>
      </c>
      <c r="J9" s="12" t="s">
        <v>901</v>
      </c>
      <c r="K9" s="13" t="s">
        <v>891</v>
      </c>
      <c r="L9" s="15" t="s">
        <v>889</v>
      </c>
      <c r="M9" s="16">
        <v>34</v>
      </c>
      <c r="N9" s="16">
        <v>78</v>
      </c>
      <c r="V9" s="17" t="s">
        <v>882</v>
      </c>
      <c r="W9" s="12" t="s">
        <v>885</v>
      </c>
    </row>
    <row r="10" spans="1:23">
      <c r="A10" s="5">
        <v>45666</v>
      </c>
      <c r="B10" s="8">
        <v>60500</v>
      </c>
      <c r="C10" s="6">
        <v>53000</v>
      </c>
      <c r="D10" s="9">
        <v>60500</v>
      </c>
      <c r="E10" s="6">
        <v>53000</v>
      </c>
      <c r="F10" s="10">
        <v>60500</v>
      </c>
      <c r="G10" s="6">
        <v>53000</v>
      </c>
      <c r="J10" s="12" t="s">
        <v>902</v>
      </c>
      <c r="K10" s="13" t="s">
        <v>894</v>
      </c>
      <c r="L10" s="15" t="s">
        <v>892</v>
      </c>
      <c r="M10" s="16">
        <v>45</v>
      </c>
      <c r="N10" s="16">
        <v>87</v>
      </c>
      <c r="P10" s="12"/>
      <c r="R10" t="s">
        <v>42</v>
      </c>
      <c r="S10" t="s">
        <v>43</v>
      </c>
      <c r="V10" s="18" t="s">
        <v>883</v>
      </c>
      <c r="W10" s="13" t="s">
        <v>886</v>
      </c>
    </row>
    <row r="11" spans="1:23">
      <c r="A11" s="5">
        <v>45667</v>
      </c>
      <c r="B11" s="8">
        <v>63000</v>
      </c>
      <c r="C11" s="6">
        <v>55500</v>
      </c>
      <c r="D11" s="9">
        <v>63000</v>
      </c>
      <c r="E11" s="6">
        <v>55500</v>
      </c>
      <c r="F11" s="10">
        <v>63000</v>
      </c>
      <c r="G11" s="6">
        <v>55500</v>
      </c>
      <c r="J11" s="12" t="s">
        <v>903</v>
      </c>
      <c r="K11" s="13" t="s">
        <v>897</v>
      </c>
      <c r="L11" s="15" t="s">
        <v>895</v>
      </c>
      <c r="M11" s="16">
        <v>56</v>
      </c>
      <c r="N11" s="16">
        <v>88</v>
      </c>
      <c r="R11" t="s">
        <v>39</v>
      </c>
      <c r="S11" s="20" cm="1">
        <f t="array" ref="S11">VLOOKUP(R11,TRANSPOSE($R$2:$U$3),2,0)</f>
        <v>678</v>
      </c>
      <c r="V11" s="19" t="s">
        <v>217</v>
      </c>
      <c r="W11" s="14" t="s">
        <v>88</v>
      </c>
    </row>
    <row r="12" spans="1:23">
      <c r="A12" s="5">
        <v>45668</v>
      </c>
      <c r="B12" s="8">
        <v>65500</v>
      </c>
      <c r="C12" s="6">
        <v>58000</v>
      </c>
      <c r="D12" s="9">
        <v>65500</v>
      </c>
      <c r="E12" s="6">
        <v>58000</v>
      </c>
      <c r="F12" s="10">
        <v>65500</v>
      </c>
      <c r="G12" s="6">
        <v>58000</v>
      </c>
      <c r="J12" s="12" t="s">
        <v>904</v>
      </c>
      <c r="K12" s="13" t="s">
        <v>886</v>
      </c>
      <c r="L12" s="15" t="s">
        <v>898</v>
      </c>
      <c r="M12" s="16">
        <v>78</v>
      </c>
      <c r="N12" s="16">
        <v>66</v>
      </c>
      <c r="R12" t="s">
        <v>40</v>
      </c>
      <c r="S12" s="20" cm="1">
        <f t="array" ref="S12">VLOOKUP(R12,TRANSPOSE($R$2:$U$3),2,0)</f>
        <v>990</v>
      </c>
      <c r="V12" s="19" t="s">
        <v>884</v>
      </c>
      <c r="W12" s="12">
        <v>50</v>
      </c>
    </row>
    <row r="13" spans="1:23">
      <c r="A13" s="5">
        <v>45669</v>
      </c>
      <c r="B13" s="8">
        <v>68000</v>
      </c>
      <c r="C13" s="6">
        <v>60500</v>
      </c>
      <c r="D13" s="9">
        <v>68000</v>
      </c>
      <c r="E13" s="6">
        <v>60500</v>
      </c>
      <c r="F13" s="10">
        <v>68000</v>
      </c>
      <c r="G13" s="6">
        <v>60500</v>
      </c>
      <c r="J13" s="12" t="s">
        <v>905</v>
      </c>
      <c r="K13" s="13" t="s">
        <v>888</v>
      </c>
      <c r="L13" s="15" t="s">
        <v>88</v>
      </c>
      <c r="M13" s="16">
        <v>98</v>
      </c>
      <c r="N13" s="16">
        <v>55</v>
      </c>
      <c r="P13" s="13"/>
      <c r="R13" t="s">
        <v>41</v>
      </c>
      <c r="S13" s="20" cm="1">
        <f t="array" ref="S13">VLOOKUP(R13,TRANSPOSE($R$2:$U$3),2,0)</f>
        <v>345</v>
      </c>
      <c r="V13" s="18" t="s">
        <v>108</v>
      </c>
      <c r="W13" s="16">
        <v>10</v>
      </c>
    </row>
    <row r="14" spans="1:23">
      <c r="A14" s="5">
        <v>45670</v>
      </c>
      <c r="B14" s="8">
        <v>70500</v>
      </c>
      <c r="C14" s="6">
        <v>63000</v>
      </c>
      <c r="D14" s="9">
        <v>58000</v>
      </c>
      <c r="E14" s="6">
        <v>63000</v>
      </c>
      <c r="F14" s="10">
        <v>58000</v>
      </c>
      <c r="G14" s="6">
        <v>63000</v>
      </c>
      <c r="J14" s="12" t="s">
        <v>906</v>
      </c>
      <c r="K14" s="13" t="s">
        <v>891</v>
      </c>
      <c r="L14" s="14" t="s">
        <v>88</v>
      </c>
      <c r="M14" s="16">
        <v>77</v>
      </c>
      <c r="N14" s="16">
        <v>56</v>
      </c>
    </row>
    <row r="15" spans="1:23">
      <c r="A15" s="5">
        <v>45671</v>
      </c>
      <c r="B15" s="8">
        <v>73000</v>
      </c>
      <c r="C15" s="6">
        <v>65500</v>
      </c>
      <c r="D15" s="9">
        <v>60500</v>
      </c>
      <c r="E15" s="6">
        <v>65500</v>
      </c>
      <c r="F15" s="10">
        <v>60500</v>
      </c>
      <c r="G15" s="6">
        <v>65500</v>
      </c>
      <c r="J15" s="12" t="s">
        <v>907</v>
      </c>
      <c r="K15" s="13" t="s">
        <v>894</v>
      </c>
      <c r="L15" s="15" t="s">
        <v>889</v>
      </c>
      <c r="M15" s="16">
        <v>88</v>
      </c>
      <c r="N15" s="16">
        <v>67</v>
      </c>
    </row>
    <row r="16" spans="1:23">
      <c r="A16" s="5">
        <v>45672</v>
      </c>
      <c r="B16" s="8">
        <v>75500</v>
      </c>
      <c r="C16" s="6">
        <v>68000</v>
      </c>
      <c r="D16" s="9">
        <v>63000</v>
      </c>
      <c r="E16" s="6">
        <v>68000</v>
      </c>
      <c r="F16" s="10">
        <v>63000</v>
      </c>
      <c r="G16" s="6">
        <v>68000</v>
      </c>
      <c r="J16" s="12" t="s">
        <v>908</v>
      </c>
      <c r="K16" s="13" t="s">
        <v>897</v>
      </c>
      <c r="L16" s="15" t="s">
        <v>892</v>
      </c>
      <c r="M16" s="16">
        <v>88</v>
      </c>
      <c r="N16" s="16">
        <v>22</v>
      </c>
    </row>
    <row r="17" spans="1:21">
      <c r="A17" s="5">
        <v>45673</v>
      </c>
      <c r="B17" s="8">
        <v>78000</v>
      </c>
      <c r="C17" s="6">
        <v>78000</v>
      </c>
      <c r="D17" s="9">
        <v>65500</v>
      </c>
      <c r="E17" s="6">
        <v>89000</v>
      </c>
      <c r="F17" s="10">
        <v>65500</v>
      </c>
      <c r="G17" s="6">
        <v>92000</v>
      </c>
      <c r="J17" s="12" t="s">
        <v>909</v>
      </c>
      <c r="K17" s="13" t="s">
        <v>886</v>
      </c>
      <c r="L17" s="15" t="s">
        <v>895</v>
      </c>
      <c r="M17" s="16">
        <v>90</v>
      </c>
      <c r="N17" s="16">
        <v>56</v>
      </c>
      <c r="P17" s="19" t="s">
        <v>217</v>
      </c>
    </row>
    <row r="18" spans="1:21">
      <c r="J18" t="s">
        <v>910</v>
      </c>
      <c r="K18" t="s">
        <v>886</v>
      </c>
      <c r="L18" t="s">
        <v>911</v>
      </c>
      <c r="M18">
        <v>99</v>
      </c>
      <c r="N18">
        <v>88</v>
      </c>
      <c r="S18" s="62" t="s">
        <v>62</v>
      </c>
      <c r="T18" s="62" t="s">
        <v>77</v>
      </c>
      <c r="U18" s="62" t="s">
        <v>78</v>
      </c>
    </row>
    <row r="19" spans="1:21">
      <c r="S19" s="63" t="s">
        <v>64</v>
      </c>
      <c r="T19" s="63" t="s">
        <v>79</v>
      </c>
      <c r="U19" s="63" t="s">
        <v>80</v>
      </c>
    </row>
    <row r="20" spans="1:21">
      <c r="S20" s="63" t="s">
        <v>66</v>
      </c>
      <c r="T20" s="63" t="s">
        <v>81</v>
      </c>
      <c r="U20" s="63" t="s">
        <v>82</v>
      </c>
    </row>
    <row r="21" spans="1:21">
      <c r="I21" t="s">
        <v>106</v>
      </c>
      <c r="J21" t="s">
        <v>107</v>
      </c>
      <c r="K21" t="s">
        <v>108</v>
      </c>
      <c r="L21" t="s">
        <v>109</v>
      </c>
      <c r="M21" t="s">
        <v>110</v>
      </c>
      <c r="O21" t="s">
        <v>107</v>
      </c>
      <c r="P21" t="s">
        <v>109</v>
      </c>
      <c r="Q21" t="s">
        <v>110</v>
      </c>
      <c r="S21" s="63" t="s">
        <v>68</v>
      </c>
      <c r="T21" s="63" t="s">
        <v>83</v>
      </c>
      <c r="U21" s="63" t="s">
        <v>80</v>
      </c>
    </row>
    <row r="22" spans="1:21">
      <c r="I22" t="s">
        <v>113</v>
      </c>
      <c r="J22" t="s">
        <v>114</v>
      </c>
      <c r="K22">
        <v>2</v>
      </c>
      <c r="L22" t="str" cm="1">
        <f t="array" ref="L22:M22">VLOOKUP(J22,O21:Q24,{2,3},0)</f>
        <v>MOBLE</v>
      </c>
      <c r="M22">
        <v>12000</v>
      </c>
      <c r="O22" t="s">
        <v>114</v>
      </c>
      <c r="P22" t="s">
        <v>117</v>
      </c>
      <c r="Q22">
        <v>12000</v>
      </c>
      <c r="S22" s="63" t="s">
        <v>70</v>
      </c>
      <c r="T22" s="63" t="s">
        <v>81</v>
      </c>
      <c r="U22" s="63" t="s">
        <v>82</v>
      </c>
    </row>
    <row r="23" spans="1:21">
      <c r="I23" t="s">
        <v>115</v>
      </c>
      <c r="J23" t="s">
        <v>116</v>
      </c>
      <c r="K23">
        <v>1</v>
      </c>
      <c r="L23" t="str" cm="1">
        <f t="array" ref="L23:M23">VLOOKUP(J23,O22:Q25,{2,3},0)</f>
        <v>HEADPHONE</v>
      </c>
      <c r="M23">
        <v>2000</v>
      </c>
      <c r="O23" t="s">
        <v>116</v>
      </c>
      <c r="P23" t="s">
        <v>120</v>
      </c>
      <c r="Q23">
        <v>2000</v>
      </c>
      <c r="S23" s="63" t="s">
        <v>72</v>
      </c>
      <c r="T23" s="63" t="s">
        <v>84</v>
      </c>
      <c r="U23" s="63" t="s">
        <v>80</v>
      </c>
    </row>
    <row r="24" spans="1:21">
      <c r="I24" t="s">
        <v>118</v>
      </c>
      <c r="J24" t="s">
        <v>119</v>
      </c>
      <c r="K24">
        <v>5</v>
      </c>
      <c r="L24" t="str" cm="1">
        <f t="array" ref="L24:M24">VLOOKUP(J24,O23:Q26,{2,3},0)</f>
        <v>LAPPY</v>
      </c>
      <c r="M24">
        <v>55000</v>
      </c>
      <c r="O24" t="s">
        <v>119</v>
      </c>
      <c r="P24" t="s">
        <v>121</v>
      </c>
      <c r="Q24">
        <v>55000</v>
      </c>
      <c r="R24" t="b">
        <f>ISERROR(Q17)</f>
        <v>0</v>
      </c>
      <c r="S24" s="63" t="s">
        <v>73</v>
      </c>
      <c r="T24" s="63" t="s">
        <v>81</v>
      </c>
      <c r="U24" s="6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2025-12-24T12:08:44Z</dcterms:created>
  <dcterms:modified xsi:type="dcterms:W3CDTF">2026-01-19T13:16:34Z</dcterms:modified>
  <cp:category/>
  <cp:contentStatus/>
</cp:coreProperties>
</file>